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7e8e31064040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_GITHUB" sheetId="1" r:id="R97d27da9f57741ad"/>
    <x:sheet xmlns:r="http://schemas.openxmlformats.org/officeDocument/2006/relationships" name="KPIs_HTML" sheetId="2" r:id="R2f9b2c7d40bd4844"/>
    <x:sheet xmlns:r="http://schemas.openxmlformats.org/officeDocument/2006/relationships" name="LIMPIEZA_COBERTURA" sheetId="3" r:id="Rc91835ae01444cb8"/>
    <x:sheet xmlns:r="http://schemas.openxmlformats.org/officeDocument/2006/relationships" name="LIMPIEZA_PRESUPUESTO" sheetId="4" r:id="R7d398f624d634e8b"/>
    <x:sheet xmlns:r="http://schemas.openxmlformats.org/officeDocument/2006/relationships" name="AULA911_CAMPUS" sheetId="5" r:id="Rc35c3b4ca2c04f55"/>
    <x:sheet xmlns:r="http://schemas.openxmlformats.org/officeDocument/2006/relationships" name="AULA911_TOP" sheetId="6" r:id="R451c96d0844c4b6d"/>
    <x:sheet xmlns:r="http://schemas.openxmlformats.org/officeDocument/2006/relationships" name="RONDAS" sheetId="7" r:id="R9d4ddcf6071948fe"/>
    <x:sheet xmlns:r="http://schemas.openxmlformats.org/officeDocument/2006/relationships" name="PROYECTOS" sheetId="8" r:id="R0689e5b73cad4b47"/>
    <x:sheet xmlns:r="http://schemas.openxmlformats.org/officeDocument/2006/relationships" name="MEJORAS_PROGRAMACION" sheetId="9" r:id="Rc7bb9e492c484e98"/>
    <x:sheet xmlns:r="http://schemas.openxmlformats.org/officeDocument/2006/relationships" name="MEJORAS_ESTADO" sheetId="10" r:id="Reb5da655948247a0"/>
    <x:sheet xmlns:r="http://schemas.openxmlformats.org/officeDocument/2006/relationships" name="LISTO" sheetId="11" r:id="Ree7bdd6a91044b55"/>
    <x:sheet xmlns:r="http://schemas.openxmlformats.org/officeDocument/2006/relationships" name="CATALOGO_NOMBRES" sheetId="12" r:id="R43200ded9ff44194"/>
    <x:sheet xmlns:r="http://schemas.openxmlformats.org/officeDocument/2006/relationships" name="RESUMEN" sheetId="13" r:id="Rfefe9da5ae23411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0.00"/>
    <x:numFmt numFmtId="202" formatCode="0.0%"/>
    <x:numFmt numFmtId="203" formatCode="&quot;S/ &quot; #,##0"/>
  </x:numFmts>
  <x:fonts count="7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C1C1A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b/>
      <x:sz val="11"/>
      <x:color rgb="FF9C1014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C8161C"/>
      </x:patternFill>
    </x:fill>
    <x:fill>
      <x:patternFill patternType="solid">
        <x:fgColor rgb="FFF6F5F3"/>
      </x:patternFill>
    </x:fill>
    <x:fill>
      <x:patternFill patternType="solid">
        <x:fgColor rgb="FFFBE9E8"/>
      </x:patternFill>
    </x:fill>
  </x:fills>
  <x:borders count="6">
    <x:border/>
    <x:border/>
    <x:border>
      <x:bottom/>
    </x:border>
    <x:border>
      <x:bottom/>
    </x:border>
    <x:border>
      <x:bottom/>
    </x:border>
    <x:border>
      <x:bottom/>
    </x:border>
  </x:borders>
  <x:cellStyleXfs count="1">
    <x:xf numFmtId="0" fontId="0" fillId="0" borderId="0"/>
  </x:cellStyleXfs>
  <x:cellXfs count="7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2" xfId="0" applyNumberFormat="1" applyFont="1" applyFill="1" applyBorder="1"/>
    <x:xf numFmtId="0" fontId="3" fillId="2" borderId="2" xfId="0" applyNumberFormat="1" applyFont="1" applyFill="1" applyBorder="1" applyAlignment="1">
      <x:alignment wrapText="1"/>
    </x:xf>
    <x:xf numFmtId="0" fontId="3" fillId="2" borderId="2" xfId="0" applyNumberFormat="1" applyFont="1" applyFill="1" applyBorder="1" applyAlignment="1">
      <x:alignment horizontal="center" wrapText="1"/>
    </x:xf>
    <x:xf numFmtId="0" fontId="3" fillId="2" borderId="2" xfId="0" applyNumberFormat="1" applyFont="1" applyFill="1" applyBorder="1" applyAlignment="1">
      <x:alignment horizontal="center" vertical="center" wrapText="1"/>
    </x:xf>
    <x:xf numFmtId="0" fontId="3" fillId="2" borderId="1" xfId="0" applyNumberFormat="1" applyFont="1" applyFill="1" applyBorder="1"/>
    <x:xf numFmtId="0" fontId="3" fillId="2" borderId="3" xfId="0" applyNumberFormat="1" applyFont="1" applyFill="1" applyBorder="1"/>
    <x:xf numFmtId="0" fontId="3" fillId="2" borderId="3" xfId="0" applyNumberFormat="1" applyFont="1" applyFill="1" applyBorder="1" applyAlignment="1">
      <x:alignment wrapText="1"/>
    </x:xf>
    <x:xf numFmtId="0" fontId="3" fillId="2" borderId="3" xfId="0" applyNumberFormat="1" applyFont="1" applyFill="1" applyBorder="1" applyAlignment="1">
      <x:alignment horizontal="center" wrapText="1"/>
    </x:xf>
    <x:xf numFmtId="0" fontId="3" fillId="2" borderId="3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/>
    <x:xf numFmtId="0" fontId="0" fillId="0" borderId="4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0" fillId="0" borderId="4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0" borderId="5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 applyAlignment="1">
      <x:alignment vertical="center" wrapText="1"/>
    </x:xf>
    <x:xf numFmtId="201" fontId="0" fillId="0" borderId="4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  <x:xf numFmtId="201" fontId="0" fillId="0" borderId="5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202" fontId="0" fillId="0" borderId="4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 wrapText="1"/>
    </x:xf>
    <x:xf numFmtId="202" fontId="0" fillId="0" borderId="5" xfId="0" applyNumberFormat="1" applyFont="1" applyFill="1" applyBorder="1" applyAlignment="1">
      <x:alignment vertical="center" wrapText="1"/>
    </x:xf>
    <x:xf numFmtId="203" fontId="0" fillId="0" borderId="0" xfId="0" applyNumberFormat="1" applyFont="1" applyFill="1" applyBorder="1" applyAlignment="1">
      <x:alignment vertical="center" wrapText="1"/>
    </x:xf>
    <x:xf numFmtId="203" fontId="0" fillId="0" borderId="4" xfId="0" applyNumberFormat="1" applyFont="1" applyFill="1" applyBorder="1" applyAlignment="1">
      <x:alignment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center" wrapText="1"/>
    </x:xf>
    <x:xf numFmtId="203" fontId="0" fillId="0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4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4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5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5" xfId="0" applyNumberFormat="1" applyFont="1" applyFill="1" applyBorder="1" applyAlignment="1">
      <x:alignment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4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5" xfId="0" applyNumberFormat="1" applyFont="1" applyFill="1" applyBorder="1" applyAlignment="1">
      <x:alignment vertical="center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4" fillId="2" borderId="0" xfId="0" applyNumberFormat="1" applyFont="1" applyFill="1" applyBorder="1"/>
    <x:xf numFmtId="0" fontId="4" fillId="2" borderId="1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0" fillId="4" borderId="1" xfId="0" applyNumberFormat="1" applyFont="1" applyFill="1" applyBorder="1"/>
    <x:xf numFmtId="0" fontId="5" fillId="4" borderId="1" xfId="0" applyNumberFormat="1" applyFont="1" applyFill="1" applyBorder="1"/>
    <x:xf numFmtId="0" fontId="6" fillId="3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d4ac26d05f04802" /><Relationship Type="http://schemas.openxmlformats.org/officeDocument/2006/relationships/theme" Target="/xl/theme/theme1.xml" Id="R5401d5d3f8894bf5" /><Relationship Type="http://schemas.microsoft.com/office/2022/11/relationships/FeaturePropertyBag" Target="/xl/featurePropertyBag/featurePropertyBag.xml" Id="Rfd2014889bda4de8" /><Relationship Type="http://schemas.openxmlformats.org/officeDocument/2006/relationships/sharedStrings" Target="/xl/sharedStrings.xml" Id="R36c1cb82da474972" /><Relationship Type="http://schemas.openxmlformats.org/officeDocument/2006/relationships/worksheet" Target="/xl/worksheets/sheet1.xml" Id="R97d27da9f57741ad" /><Relationship Type="http://schemas.openxmlformats.org/officeDocument/2006/relationships/worksheet" Target="/xl/worksheets/sheet2.xml" Id="R2f9b2c7d40bd4844" /><Relationship Type="http://schemas.openxmlformats.org/officeDocument/2006/relationships/worksheet" Target="/xl/worksheets/sheet3.xml" Id="Rc91835ae01444cb8" /><Relationship Type="http://schemas.openxmlformats.org/officeDocument/2006/relationships/worksheet" Target="/xl/worksheets/sheet4.xml" Id="R7d398f624d634e8b" /><Relationship Type="http://schemas.openxmlformats.org/officeDocument/2006/relationships/worksheet" Target="/xl/worksheets/sheet5.xml" Id="Rc35c3b4ca2c04f55" /><Relationship Type="http://schemas.openxmlformats.org/officeDocument/2006/relationships/worksheet" Target="/xl/worksheets/sheet6.xml" Id="R451c96d0844c4b6d" /><Relationship Type="http://schemas.openxmlformats.org/officeDocument/2006/relationships/worksheet" Target="/xl/worksheets/sheet7.xml" Id="R9d4ddcf6071948fe" /><Relationship Type="http://schemas.openxmlformats.org/officeDocument/2006/relationships/worksheet" Target="/xl/worksheets/sheet8.xml" Id="R0689e5b73cad4b47" /><Relationship Type="http://schemas.openxmlformats.org/officeDocument/2006/relationships/worksheet" Target="/xl/worksheets/sheet9.xml" Id="Rc7bb9e492c484e98" /><Relationship Type="http://schemas.openxmlformats.org/officeDocument/2006/relationships/worksheet" Target="/xl/worksheets/sheet10.xml" Id="Reb5da655948247a0" /><Relationship Type="http://schemas.openxmlformats.org/officeDocument/2006/relationships/worksheet" Target="/xl/worksheets/sheet11.xml" Id="Ree7bdd6a91044b55" /><Relationship Type="http://schemas.openxmlformats.org/officeDocument/2006/relationships/worksheet" Target="/xl/worksheets/sheet12.xml" Id="R43200ded9ff44194" /><Relationship Type="http://schemas.openxmlformats.org/officeDocument/2006/relationships/worksheet" Target="/xl/worksheets/sheet13.xml" Id="Rfefe9da5ae23411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8d1dce2d42cc422b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Proyectos por estado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Cantidad</c:v>
          </c:tx>
          <c:cat>
            <c:strRef>
              <c:f>'RESUMEN'!$E$4:$E$5</c:f>
              <c:strCache>
                <c:ptCount val="0"/>
              </c:strCache>
            </c:strRef>
          </c:cat>
          <c:val>
            <c:numRef>
              <c:f>'RESUMEN'!$F$4:$F$5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4</xdr:col>
      <xdr:colOff>0</xdr:colOff>
      <xdr:row>6</xdr:row>
      <xdr:rowOff>0</xdr:rowOff>
    </xdr:from>
    <xdr:to>
      <xdr:col>11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8d1dce2d42cc422b"/>
        </a:graphicData>
      </a:graphic>
    </xdr:graphicFrame>
    <xdr:clientData/>
  </xdr:twoCellAnchor>
</xdr:wsDr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blKPIsHTML" displayName="TblKPIsHTML" ref="A1:E30" headerRowCount="1" totalsRowCount="0" totalsRowShown="0">
  <x:tableColumns count="5">
    <x:tableColumn id="1" name="modulo"/>
    <x:tableColumn id="2" name="indicador"/>
    <x:tableColumn id="3" name="valor"/>
    <x:tableColumn id="4" name="unidad"/>
    <x:tableColumn id="5" name="nota_fuen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blCobertura" displayName="TblCobertura" ref="A1:M29" headerRowCount="1" totalsRowCount="0" totalsRowShown="0">
  <x:tableColumns count="13">
    <x:tableColumn id="1" name="zona"/>
    <x:tableColumn id="2" name="campus"/>
    <x:tableColumn id="3" name="dot_m"/>
    <x:tableColumn id="4" name="dot_t"/>
    <x:tableColumn id="5" name="dot_n"/>
    <x:tableColumn id="6" name="cob_m"/>
    <x:tableColumn id="7" name="cob_t"/>
    <x:tableColumn id="8" name="cob_n"/>
    <x:tableColumn id="9" name="pend_m"/>
    <x:tableColumn id="10" name="pend_t"/>
    <x:tableColumn id="11" name="pend_n"/>
    <x:tableColumn id="12" name="pend_total"/>
    <x:tableColumn id="13" name="cobertura_pct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blPresupuestoDetalle" displayName="TblPresupuestoDetalle" ref="A1:C11" headerRowCount="1" totalsRowCount="0" totalsRowShown="0">
  <x:tableColumns count="3">
    <x:tableColumn id="1" name="periodo"/>
    <x:tableColumn id="2" name="concepto"/>
    <x:tableColumn id="3" name="monto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blAula911Campus" displayName="TblAula911Campus" ref="A1:F23" headerRowCount="1" totalsRowCount="0" totalsRowShown="0">
  <x:tableColumns count="6">
    <x:tableColumn id="1" name="campus"/>
    <x:tableColumn id="2" name="tiempo_acepta_min"/>
    <x:tableColumn id="3" name="tiempo_atiende_min"/>
    <x:tableColumn id="4" name="tiempo_total_min"/>
    <x:tableColumn id="5" name="valoracion"/>
    <x:tableColumn id="6" name="es_subsede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blAula911Top" displayName="TblAula911Top" ref="A1:B6" headerRowCount="1" totalsRowCount="0" totalsRowShown="0">
  <x:tableColumns count="2">
    <x:tableColumn id="1" name="tipo_incidencia"/>
    <x:tableColumn id="2" name="participacio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blRondas" displayName="TblRondas" ref="A1:G20" headerRowCount="1" totalsRowCount="0" totalsRowShown="0">
  <x:tableColumns count="7">
    <x:tableColumn id="1" name="sede"/>
    <x:tableColumn id="2" name="dispositivos_asignados"/>
    <x:tableColumn id="3" name="responsables"/>
    <x:tableColumn id="4" name="programado"/>
    <x:tableColumn id="5" name="ejecutado"/>
    <x:tableColumn id="6" name="cumplimiento_pct"/>
    <x:tableColumn id="7" name="es_subsede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blProyectos" displayName="TblProyectos" ref="A1:H20" headerRowCount="1" totalsRowCount="0" totalsRowShown="0">
  <x:tableColumns count="8">
    <x:tableColumn id="1" name="id_proyecto"/>
    <x:tableColumn id="2" name="proyecto"/>
    <x:tableColumn id="3" name="estado"/>
    <x:tableColumn id="4" name="avance_obra_pct"/>
    <x:tableColumn id="5" name="avance_compras_pct"/>
    <x:tableColumn id="6" name="fecha_objetivo_texto"/>
    <x:tableColumn id="7" name="con_observaciones"/>
    <x:tableColumn id="8" name="nueva_fecha_texto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blMejorasProgramacion" displayName="TblMejorasProgramacion" ref="A1:J18" headerRowCount="1" totalsRowCount="0" totalsRowShown="0">
  <x:tableColumns count="10">
    <x:tableColumn id="1" name="campus"/>
    <x:tableColumn id="2" name="mar"/>
    <x:tableColumn id="3" name="abr"/>
    <x:tableColumn id="4" name="may"/>
    <x:tableColumn id="5" name="jun"/>
    <x:tableColumn id="6" name="ago"/>
    <x:tableColumn id="7" name="set"/>
    <x:tableColumn id="8" name="oct"/>
    <x:tableColumn id="9" name="nov"/>
    <x:tableColumn id="10" name="total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blMejorasEstado" displayName="TblMejorasEstado" ref="A1:C5" headerRowCount="1" totalsRowCount="0" totalsRowShown="0">
  <x:tableColumns count="3">
    <x:tableColumn id="1" name="estado"/>
    <x:tableColumn id="2" name="cantidad"/>
    <x:tableColumn id="3" name="participacion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blListo" displayName="TblListo" ref="A1:H20" headerRowCount="1" totalsRowCount="0" totalsRowShown="0">
  <x:tableColumns count="8">
    <x:tableColumn id="1" name="id_registro"/>
    <x:tableColumn id="2" name="campus"/>
    <x:tableColumn id="3" name="diseno_pct"/>
    <x:tableColumn id="4" name="obra_pct"/>
    <x:tableColumn id="5" name="operacion"/>
    <x:tableColumn id="6" name="fecha_objetivo_texto"/>
    <x:tableColumn id="7" name="con_observacion"/>
    <x:tableColumn id="8" name="nueva_fecha_texto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blCatalogoNombres" displayName="TblCatalogoNombres" ref="A1:C106" headerRowCount="1" totalsRowCount="0" totalsRowShown="0">
  <x:tableColumns count="3">
    <x:tableColumn id="1" name="id_origen"/>
    <x:tableColumn id="2" name="modulo"/>
    <x:tableColumn id="3" name="nombre_sede_orige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e0d35ae3f22d457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2cc743eb0d24d8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e276a8f196d487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a066dc546b74c45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3d13ac4dbce640f5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1a26fc93a8847d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c3d054348800442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ba6412e0341d4fbd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58d624a3dfd0421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5370be67c706419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cc80ad6e109b4b8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drawing" Target="/xl/drawings/drawing1.xml" Id="R330a780de25b45de" /></Relationships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85" hidden="0" customWidth="1"/>
  </x:cols>
  <x:sheetData>
    <x:row r="1" ht="34" customHeight="1">
      <x:c r="A1" s="5" t="str">
        <x:v>Base de datos · Dashboard Proyectos Operacionales</x:v>
      </x:c>
    </x:row>
    <x:row r="3">
      <x:c r="A3" s="11" t="str">
        <x:v>Campo</x:v>
      </x:c>
      <x:c r="B3" s="11" t="str">
        <x:v>Detalle</x:v>
      </x:c>
    </x:row>
    <x:row r="4">
      <x:c r="A4" s="14" t="str">
        <x:v>Archivo fuente</x:v>
      </x:c>
      <x:c r="B4" s="16" t="str">
        <x:v>dashboard_proyectos_operacionales.html</x:v>
      </x:c>
    </x:row>
    <x:row r="5">
      <x:c r="A5" s="14" t="str">
        <x:v>Fecha de compilación</x:v>
      </x:c>
      <x:c r="B5" s="18" t="n">
        <x:v>46282</x:v>
      </x:c>
    </x:row>
    <x:row r="6">
      <x:c r="A6" s="14" t="str">
        <x:v>Objetivo</x:v>
      </x:c>
      <x:c r="B6" s="16" t="str">
        <x:v>Usar este libro como fuente de datos versionable en GitHub y leerlo desde el HTML.</x:v>
      </x:c>
    </x:row>
    <x:row r="7">
      <x:c r="A7" s="14" t="str">
        <x:v>Ruta sugerida en GitHub</x:v>
      </x:c>
      <x:c r="B7" s="16" t="str">
        <x:v>data/BD_dashboard_operaciones_github.xlsx</x:v>
      </x:c>
    </x:row>
    <x:row r="8">
      <x:c r="A8" s="14" t="str">
        <x:v>Estructura sugerida</x:v>
      </x:c>
      <x:c r="B8" s="16" t="str">
        <x:v>index.html  +  data/BD_dashboard_operaciones_github.xlsx</x:v>
      </x:c>
    </x:row>
    <x:row r="9">
      <x:c r="A9" s="14" t="str">
        <x:v>Lectura desde HTML</x:v>
      </x:c>
      <x:c r="B9" s="16" t="str">
        <x:v>Recomendado: usar SheetJS (xlsx.full.min.js) y fetch('data/BD_dashboard_operaciones_github.xlsx').</x:v>
      </x:c>
    </x:row>
    <x:row r="10">
      <x:c r="A10" s="14" t="str">
        <x:v>Actualización</x:v>
      </x:c>
      <x:c r="B10" s="16" t="str">
        <x:v>Editar el Excel, guardar y reemplazar el archivo en el repositorio. El HTML debe calcular KPIs a partir de las hojas fuente.</x:v>
      </x:c>
    </x:row>
    <x:row r="11">
      <x:c r="A11" s="14" t="str">
        <x:v>Importante</x:v>
      </x:c>
      <x:c r="B11" s="16" t="str">
        <x:v>Los nombres y valores se conservan según el HTML. No se han reconciliado aliases de sedes entre módulos.</x:v>
      </x:c>
    </x:row>
    <x:row r="12">
      <x:c r="A12" s="14" t="str">
        <x:v>Observación Mejoras</x:v>
      </x:c>
      <x:c r="B12" s="16" t="str">
        <x:v>El HTML muestra 294 iniciativas por estado, pero la matriz mensual suma 267. Se conservan ambos datos sin corregirlos.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4" hidden="0" customWidth="1"/>
    <x:col min="3" max="3" width="18" hidden="0" customWidth="1"/>
    <x:col min="4" max="4" width="18" hidden="0" customWidth="1"/>
    <x:col min="5" max="5" width="34" hidden="0" customWidth="1"/>
  </x:cols>
  <x:sheetData>
    <x:row r="1" ht="30" customHeight="1">
      <x:c r="A1" s="24" t="str">
        <x:v>modulo</x:v>
      </x:c>
      <x:c r="B1" s="24" t="str">
        <x:v>indicador</x:v>
      </x:c>
      <x:c r="C1" s="24" t="str">
        <x:v>valor</x:v>
      </x:c>
      <x:c r="D1" s="24" t="str">
        <x:v>unidad</x:v>
      </x:c>
      <x:c r="E1" s="24" t="str">
        <x:v>nota_fuente</x:v>
      </x:c>
    </x:row>
    <x:row r="2">
      <x:c r="A2" s="37" t="str">
        <x:v>Limpieza</x:v>
      </x:c>
      <x:c r="B2" s="37" t="str">
        <x:v>Cobertura semanal total</x:v>
      </x:c>
      <x:c r="C2" s="41" t="n">
        <x:v>0.94</x:v>
      </x:c>
      <x:c r="D2" s="37" t="str">
        <x:v>porcentaje</x:v>
      </x:c>
      <x:c r="E2" s="37" t="str">
        <x:v>Corte 24/08/2026</x:v>
      </x:c>
    </x:row>
    <x:row r="3">
      <x:c r="A3" s="37" t="str">
        <x:v>Limpieza</x:v>
      </x:c>
      <x:c r="B3" s="37" t="str">
        <x:v>Dotación programada (turnos)</x:v>
      </x:c>
      <x:c r="C3" s="41" t="n">
        <x:v>597</x:v>
      </x:c>
      <x:c r="D3" s="37" t="str">
        <x:v>entero</x:v>
      </x:c>
      <x:c r="E3" s="37" t="str">
        <x:v>Corte 24/08/2026</x:v>
      </x:c>
    </x:row>
    <x:row r="4">
      <x:c r="A4" s="37" t="str">
        <x:v>Limpieza</x:v>
      </x:c>
      <x:c r="B4" s="37" t="str">
        <x:v>Turnos cubiertos</x:v>
      </x:c>
      <x:c r="C4" s="41" t="n">
        <x:v>566</x:v>
      </x:c>
      <x:c r="D4" s="37" t="str">
        <x:v>entero</x:v>
      </x:c>
      <x:c r="E4" s="37" t="str">
        <x:v>Corte 24/08/2026</x:v>
      </x:c>
    </x:row>
    <x:row r="5">
      <x:c r="A5" s="37" t="str">
        <x:v>Limpieza</x:v>
      </x:c>
      <x:c r="B5" s="37" t="str">
        <x:v>Turnos pendientes</x:v>
      </x:c>
      <x:c r="C5" s="41" t="n">
        <x:v>31</x:v>
      </x:c>
      <x:c r="D5" s="37" t="str">
        <x:v>entero</x:v>
      </x:c>
      <x:c r="E5" s="37" t="str">
        <x:v>Corte 24/08/2026</x:v>
      </x:c>
    </x:row>
    <x:row r="6">
      <x:c r="A6" s="37" t="str">
        <x:v>Limpieza</x:v>
      </x:c>
      <x:c r="B6" s="37" t="str">
        <x:v>Presupuesto 2026</x:v>
      </x:c>
      <x:c r="C6" s="41" t="n">
        <x:v>18000000</x:v>
      </x:c>
      <x:c r="D6" s="37" t="str">
        <x:v>moneda</x:v>
      </x:c>
      <x:c r="E6" s="37" t="str">
        <x:v>Valor mostrado como S/ 18 M</x:v>
      </x:c>
    </x:row>
    <x:row r="7">
      <x:c r="A7" s="37" t="str">
        <x:v>Limpieza</x:v>
      </x:c>
      <x:c r="B7" s="37" t="str">
        <x:v>Presupuesto ejecutado</x:v>
      </x:c>
      <x:c r="C7" s="41" t="n">
        <x:v>8800000</x:v>
      </x:c>
      <x:c r="D7" s="37" t="str">
        <x:v>moneda</x:v>
      </x:c>
      <x:c r="E7" s="37" t="str">
        <x:v>Valor mostrado como S/ 8.8 M</x:v>
      </x:c>
    </x:row>
    <x:row r="8">
      <x:c r="A8" s="37" t="str">
        <x:v>Limpieza</x:v>
      </x:c>
      <x:c r="B8" s="37" t="str">
        <x:v>Nivel de ejecución</x:v>
      </x:c>
      <x:c r="C8" s="41" t="n">
        <x:v>0.489</x:v>
      </x:c>
      <x:c r="D8" s="37" t="str">
        <x:v>porcentaje</x:v>
      </x:c>
      <x:c r="E8" s="37" t="str">
        <x:v>Fuente HTML</x:v>
      </x:c>
    </x:row>
    <x:row r="9">
      <x:c r="A9" s="37" t="str">
        <x:v>Limpieza</x:v>
      </x:c>
      <x:c r="B9" s="37" t="str">
        <x:v>Descuentos + penalidades</x:v>
      </x:c>
      <x:c r="C9" s="41" t="n">
        <x:v>414236</x:v>
      </x:c>
      <x:c r="D9" s="37" t="str">
        <x:v>moneda</x:v>
      </x:c>
      <x:c r="E9" s="37" t="str">
        <x:v>Fuente HTML</x:v>
      </x:c>
    </x:row>
    <x:row r="10">
      <x:c r="A10" s="37" t="str">
        <x:v>Aula 911</x:v>
      </x:c>
      <x:c r="B10" s="37" t="str">
        <x:v># incidencias</x:v>
      </x:c>
      <x:c r="C10" s="41" t="n">
        <x:v>10548</x:v>
      </x:c>
      <x:c r="D10" s="37" t="str">
        <x:v>entero</x:v>
      </x:c>
      <x:c r="E10" s="37" t="str">
        <x:v>Corte 19/08/2026</x:v>
      </x:c>
    </x:row>
    <x:row r="11">
      <x:c r="A11" s="37" t="str">
        <x:v>Aula 911</x:v>
      </x:c>
      <x:c r="B11" s="37" t="str">
        <x:v>Tiempo acepta solicitud</x:v>
      </x:c>
      <x:c r="C11" s="41" t="n">
        <x:v>4.3</x:v>
      </x:c>
      <x:c r="D11" s="37" t="str">
        <x:v>minutos</x:v>
      </x:c>
      <x:c r="E11" s="37" t="str">
        <x:v>Corte 19/08/2026</x:v>
      </x:c>
    </x:row>
    <x:row r="12">
      <x:c r="A12" s="37" t="str">
        <x:v>Aula 911</x:v>
      </x:c>
      <x:c r="B12" s="37" t="str">
        <x:v>Tiempo atiende solicitud</x:v>
      </x:c>
      <x:c r="C12" s="41" t="n">
        <x:v>4.8</x:v>
      </x:c>
      <x:c r="D12" s="37" t="str">
        <x:v>minutos</x:v>
      </x:c>
      <x:c r="E12" s="37" t="str">
        <x:v>Corte 19/08/2026</x:v>
      </x:c>
    </x:row>
    <x:row r="13">
      <x:c r="A13" s="37" t="str">
        <x:v>Aula 911</x:v>
      </x:c>
      <x:c r="B13" s="37" t="str">
        <x:v>Tiempo total de atención</x:v>
      </x:c>
      <x:c r="C13" s="41" t="n">
        <x:v>9.2</x:v>
      </x:c>
      <x:c r="D13" s="37" t="str">
        <x:v>minutos</x:v>
      </x:c>
      <x:c r="E13" s="37" t="str">
        <x:v>Corte 19/08/2026</x:v>
      </x:c>
    </x:row>
    <x:row r="14">
      <x:c r="A14" s="37" t="str">
        <x:v>Aula 911</x:v>
      </x:c>
      <x:c r="B14" s="37" t="str">
        <x:v>Valoración general</x:v>
      </x:c>
      <x:c r="C14" s="41" t="n">
        <x:v>4.6</x:v>
      </x:c>
      <x:c r="D14" s="37" t="str">
        <x:v>escala 1-5</x:v>
      </x:c>
      <x:c r="E14" s="37" t="str">
        <x:v>Fuente HTML</x:v>
      </x:c>
    </x:row>
    <x:row r="15">
      <x:c r="A15" s="37" t="str">
        <x:v>Rondas</x:v>
      </x:c>
      <x:c r="B15" s="37" t="str">
        <x:v>% cumplimiento</x:v>
      </x:c>
      <x:c r="C15" s="41" t="n">
        <x:v>0.94</x:v>
      </x:c>
      <x:c r="D15" s="37" t="str">
        <x:v>porcentaje</x:v>
      </x:c>
      <x:c r="E15" s="37" t="str">
        <x:v>Corte 19/08/2026</x:v>
      </x:c>
    </x:row>
    <x:row r="16">
      <x:c r="A16" s="37" t="str">
        <x:v>Rondas</x:v>
      </x:c>
      <x:c r="B16" s="37" t="str">
        <x:v>Total programado</x:v>
      </x:c>
      <x:c r="C16" s="41" t="n">
        <x:v>6470</x:v>
      </x:c>
      <x:c r="D16" s="37" t="str">
        <x:v>entero</x:v>
      </x:c>
      <x:c r="E16" s="37" t="str">
        <x:v>Corte 19/08/2026</x:v>
      </x:c>
    </x:row>
    <x:row r="17">
      <x:c r="A17" s="37" t="str">
        <x:v>Rondas</x:v>
      </x:c>
      <x:c r="B17" s="37" t="str">
        <x:v>Total ejecutado</x:v>
      </x:c>
      <x:c r="C17" s="41" t="n">
        <x:v>39146</x:v>
      </x:c>
      <x:c r="D17" s="37" t="str">
        <x:v>entero</x:v>
      </x:c>
      <x:c r="E17" s="37" t="str">
        <x:v>Corte 19/08/2026</x:v>
      </x:c>
    </x:row>
    <x:row r="18">
      <x:c r="A18" s="37" t="str">
        <x:v>Rondas</x:v>
      </x:c>
      <x:c r="B18" s="37" t="str">
        <x:v># checkpoints</x:v>
      </x:c>
      <x:c r="C18" s="41" t="n">
        <x:v>677</x:v>
      </x:c>
      <x:c r="D18" s="37" t="str">
        <x:v>entero</x:v>
      </x:c>
      <x:c r="E18" s="37" t="str">
        <x:v>Corte 19/08/2026</x:v>
      </x:c>
    </x:row>
    <x:row r="19">
      <x:c r="A19" s="37" t="str">
        <x:v>Proyectos</x:v>
      </x:c>
      <x:c r="B19" s="37" t="str">
        <x:v>Proyectos</x:v>
      </x:c>
      <x:c r="C19" s="41" t="n">
        <x:v>19</x:v>
      </x:c>
      <x:c r="D19" s="37" t="str">
        <x:v>entero</x:v>
      </x:c>
      <x:c r="E19" s="37" t="str">
        <x:v>Fuente HTML</x:v>
      </x:c>
    </x:row>
    <x:row r="20">
      <x:c r="A20" s="37" t="str">
        <x:v>Proyectos</x:v>
      </x:c>
      <x:c r="B20" s="37" t="str">
        <x:v>En proceso</x:v>
      </x:c>
      <x:c r="C20" s="41" t="n">
        <x:v>8</x:v>
      </x:c>
      <x:c r="D20" s="37" t="str">
        <x:v>entero</x:v>
      </x:c>
      <x:c r="E20" s="37" t="str">
        <x:v>Fuente HTML</x:v>
      </x:c>
    </x:row>
    <x:row r="21">
      <x:c r="A21" s="37" t="str">
        <x:v>Proyectos</x:v>
      </x:c>
      <x:c r="B21" s="37" t="str">
        <x:v>Pendientes</x:v>
      </x:c>
      <x:c r="C21" s="41" t="n">
        <x:v>11</x:v>
      </x:c>
      <x:c r="D21" s="37" t="str">
        <x:v>entero</x:v>
      </x:c>
      <x:c r="E21" s="37" t="str">
        <x:v>Fuente HTML</x:v>
      </x:c>
    </x:row>
    <x:row r="22">
      <x:c r="A22" s="37" t="str">
        <x:v>Mejoras</x:v>
      </x:c>
      <x:c r="B22" s="37" t="str">
        <x:v>Ejecutado</x:v>
      </x:c>
      <x:c r="C22" s="41" t="n">
        <x:v>80</x:v>
      </x:c>
      <x:c r="D22" s="37" t="str">
        <x:v>entero</x:v>
      </x:c>
      <x:c r="E22" s="37" t="str">
        <x:v>27% del total de 294</x:v>
      </x:c>
    </x:row>
    <x:row r="23">
      <x:c r="A23" s="37" t="str">
        <x:v>Mejoras</x:v>
      </x:c>
      <x:c r="B23" s="37" t="str">
        <x:v>En proceso</x:v>
      </x:c>
      <x:c r="C23" s="41" t="n">
        <x:v>111</x:v>
      </x:c>
      <x:c r="D23" s="37" t="str">
        <x:v>entero</x:v>
      </x:c>
      <x:c r="E23" s="37" t="str">
        <x:v>38% del total de 294</x:v>
      </x:c>
    </x:row>
    <x:row r="24">
      <x:c r="A24" s="37" t="str">
        <x:v>Mejoras</x:v>
      </x:c>
      <x:c r="B24" s="37" t="str">
        <x:v>Pendiente</x:v>
      </x:c>
      <x:c r="C24" s="41" t="n">
        <x:v>76</x:v>
      </x:c>
      <x:c r="D24" s="37" t="str">
        <x:v>entero</x:v>
      </x:c>
      <x:c r="E24" s="37" t="str">
        <x:v>26% del total de 294</x:v>
      </x:c>
    </x:row>
    <x:row r="25">
      <x:c r="A25" s="37" t="str">
        <x:v>Mejoras</x:v>
      </x:c>
      <x:c r="B25" s="37" t="str">
        <x:v>Cancelado</x:v>
      </x:c>
      <x:c r="C25" s="41" t="n">
        <x:v>27</x:v>
      </x:c>
      <x:c r="D25" s="37" t="str">
        <x:v>entero</x:v>
      </x:c>
      <x:c r="E25" s="37" t="str">
        <x:v>9% del total de 294</x:v>
      </x:c>
    </x:row>
    <x:row r="26">
      <x:c r="A26" s="37" t="str">
        <x:v>Mejoras</x:v>
      </x:c>
      <x:c r="B26" s="37" t="str">
        <x:v>Total iniciativas</x:v>
      </x:c>
      <x:c r="C26" s="41" t="n">
        <x:v>294</x:v>
      </x:c>
      <x:c r="D26" s="37" t="str">
        <x:v>entero</x:v>
      </x:c>
      <x:c r="E26" s="37" t="str">
        <x:v>KPI general del HTML</x:v>
      </x:c>
    </x:row>
    <x:row r="27">
      <x:c r="A27" s="37" t="str">
        <x:v>Mejoras</x:v>
      </x:c>
      <x:c r="B27" s="37" t="str">
        <x:v>Total matriz mensual</x:v>
      </x:c>
      <x:c r="C27" s="41" t="n">
        <x:v>267</x:v>
      </x:c>
      <x:c r="D27" s="37" t="str">
        <x:v>entero</x:v>
      </x:c>
      <x:c r="E27" s="37" t="str">
        <x:v>Suma de matriz mensual del HTML</x:v>
      </x:c>
    </x:row>
    <x:row r="28">
      <x:c r="A28" s="37" t="str">
        <x:v>Listo</x:v>
      </x:c>
      <x:c r="B28" s="37" t="str">
        <x:v>Registros</x:v>
      </x:c>
      <x:c r="C28" s="41" t="n">
        <x:v>19</x:v>
      </x:c>
      <x:c r="D28" s="37" t="str">
        <x:v>entero</x:v>
      </x:c>
      <x:c r="E28" s="37" t="str">
        <x:v>Fuente HTML</x:v>
      </x:c>
    </x:row>
    <x:row r="29">
      <x:c r="A29" s="37" t="str">
        <x:v>Listo</x:v>
      </x:c>
      <x:c r="B29" s="37" t="str">
        <x:v>Operativos</x:v>
      </x:c>
      <x:c r="C29" s="41" t="n">
        <x:v>11</x:v>
      </x:c>
      <x:c r="D29" s="37" t="str">
        <x:v>entero</x:v>
      </x:c>
      <x:c r="E29" s="37" t="str">
        <x:v>Fuente HTML</x:v>
      </x:c>
    </x:row>
    <x:row r="30">
      <x:c r="A30" s="38" t="str">
        <x:v>Listo</x:v>
      </x:c>
      <x:c r="B30" s="38" t="str">
        <x:v>Por implementar</x:v>
      </x:c>
      <x:c r="C30" s="42" t="n">
        <x:v>8</x:v>
      </x:c>
      <x:c r="D30" s="38" t="str">
        <x:v>entero</x:v>
      </x:c>
      <x:c r="E30" s="38" t="str">
        <x:v>Fuente HTML</x:v>
      </x:c>
    </x:row>
  </x:sheetData>
  <x:pageMargins left="0.7" right="0.7" top="0.75" bottom="0.75" header="0.3" footer="0.3"/>
  <x:tableParts count="1">
    <x:tablePart xmlns:r="http://schemas.openxmlformats.org/officeDocument/2006/relationships" r:id="Re0d35ae3f22d4574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0" hidden="0" customWidth="1"/>
    <x:col min="11" max="11" width="10" hidden="0" customWidth="1"/>
    <x:col min="12" max="12" width="12" hidden="0" customWidth="1"/>
    <x:col min="13" max="13" width="14" hidden="0" customWidth="1"/>
  </x:cols>
  <x:sheetData>
    <x:row r="1" ht="30" customHeight="1">
      <x:c r="A1" s="24" t="str">
        <x:v>zona</x:v>
      </x:c>
      <x:c r="B1" s="24" t="str">
        <x:v>campus</x:v>
      </x:c>
      <x:c r="C1" s="24" t="str">
        <x:v>dot_m</x:v>
      </x:c>
      <x:c r="D1" s="24" t="str">
        <x:v>dot_t</x:v>
      </x:c>
      <x:c r="E1" s="24" t="str">
        <x:v>dot_n</x:v>
      </x:c>
      <x:c r="F1" s="24" t="str">
        <x:v>cob_m</x:v>
      </x:c>
      <x:c r="G1" s="24" t="str">
        <x:v>cob_t</x:v>
      </x:c>
      <x:c r="H1" s="24" t="str">
        <x:v>cob_n</x:v>
      </x:c>
      <x:c r="I1" s="24" t="str">
        <x:v>pend_m</x:v>
      </x:c>
      <x:c r="J1" s="24" t="str">
        <x:v>pend_t</x:v>
      </x:c>
      <x:c r="K1" s="24" t="str">
        <x:v>pend_n</x:v>
      </x:c>
      <x:c r="L1" s="24" t="str">
        <x:v>pend_total</x:v>
      </x:c>
      <x:c r="M1" s="24" t="str">
        <x:v>cobertura_pct</x:v>
      </x:c>
    </x:row>
    <x:row r="2">
      <x:c r="A2" s="37" t="str">
        <x:v>LIMA</x:v>
      </x:c>
      <x:c r="B2" s="37" t="str">
        <x:v>EPG Salaverry</x:v>
      </x:c>
      <x:c r="C2" s="37" t="n">
        <x:v>2</x:v>
      </x:c>
      <x:c r="D2" s="37" t="n">
        <x:v>3</x:v>
      </x:c>
      <x:c r="E2" s="37" t="n">
        <x:v>1</x:v>
      </x:c>
      <x:c r="F2" s="37" t="n">
        <x:v>2</x:v>
      </x:c>
      <x:c r="G2" s="37" t="n">
        <x:v>3</x:v>
      </x:c>
      <x:c r="H2" s="37" t="n">
        <x:v>1</x:v>
      </x:c>
      <x:c r="I2" s="37" t="n">
        <x:v>0</x:v>
      </x:c>
      <x:c r="J2" s="37" t="n">
        <x:v>0</x:v>
      </x:c>
      <x:c r="K2" s="37" t="n">
        <x:v>0</x:v>
      </x:c>
      <x:c r="L2" s="37" t="n">
        <x:v>0</x:v>
      </x:c>
      <x:c r="M2" s="45" t="n">
        <x:v>1</x:v>
      </x:c>
    </x:row>
    <x:row r="3">
      <x:c r="A3" s="37" t="str">
        <x:v>LIMA</x:v>
      </x:c>
      <x:c r="B3" s="37" t="str">
        <x:v>Almacén Central</x:v>
      </x:c>
      <x:c r="C3" s="37" t="n">
        <x:v>1</x:v>
      </x:c>
      <x:c r="D3" s="37" t="n">
        <x:v>0</x:v>
      </x:c>
      <x:c r="E3" s="37" t="n">
        <x:v>0</x:v>
      </x:c>
      <x:c r="F3" s="37" t="n">
        <x:v>1</x:v>
      </x:c>
      <x:c r="G3" s="37" t="n">
        <x:v>0</x:v>
      </x:c>
      <x:c r="H3" s="37" t="n">
        <x:v>0</x:v>
      </x:c>
      <x:c r="I3" s="37" t="n">
        <x:v>0</x:v>
      </x:c>
      <x:c r="J3" s="37" t="n">
        <x:v>0</x:v>
      </x:c>
      <x:c r="K3" s="37" t="n">
        <x:v>0</x:v>
      </x:c>
      <x:c r="L3" s="37" t="n">
        <x:v>0</x:v>
      </x:c>
      <x:c r="M3" s="45" t="n">
        <x:v>1</x:v>
      </x:c>
    </x:row>
    <x:row r="4">
      <x:c r="A4" s="37" t="str">
        <x:v>LIMA</x:v>
      </x:c>
      <x:c r="B4" s="37" t="str">
        <x:v>Jarrita</x:v>
      </x:c>
      <x:c r="C4" s="37" t="n">
        <x:v>3</x:v>
      </x:c>
      <x:c r="D4" s="37" t="n">
        <x:v>2</x:v>
      </x:c>
      <x:c r="E4" s="37" t="n">
        <x:v>0</x:v>
      </x:c>
      <x:c r="F4" s="37" t="n">
        <x:v>3</x:v>
      </x:c>
      <x:c r="G4" s="37" t="n">
        <x:v>2</x:v>
      </x:c>
      <x:c r="H4" s="37" t="n">
        <x:v>0</x:v>
      </x:c>
      <x:c r="I4" s="37" t="n">
        <x:v>0</x:v>
      </x:c>
      <x:c r="J4" s="37" t="n">
        <x:v>0</x:v>
      </x:c>
      <x:c r="K4" s="37" t="n">
        <x:v>0</x:v>
      </x:c>
      <x:c r="L4" s="37" t="n">
        <x:v>0</x:v>
      </x:c>
      <x:c r="M4" s="45" t="n">
        <x:v>1</x:v>
      </x:c>
    </x:row>
    <x:row r="5">
      <x:c r="A5" s="37" t="str">
        <x:v>LIMA</x:v>
      </x:c>
      <x:c r="B5" s="37" t="str">
        <x:v>Oficinas Administrativas</x:v>
      </x:c>
      <x:c r="C5" s="37" t="n">
        <x:v>8</x:v>
      </x:c>
      <x:c r="D5" s="37" t="n">
        <x:v>1</x:v>
      </x:c>
      <x:c r="E5" s="37" t="n">
        <x:v>0</x:v>
      </x:c>
      <x:c r="F5" s="37" t="n">
        <x:v>8</x:v>
      </x:c>
      <x:c r="G5" s="37" t="n">
        <x:v>1</x:v>
      </x:c>
      <x:c r="H5" s="37" t="n">
        <x:v>0</x:v>
      </x:c>
      <x:c r="I5" s="37" t="n">
        <x:v>0</x:v>
      </x:c>
      <x:c r="J5" s="37" t="n">
        <x:v>0</x:v>
      </x:c>
      <x:c r="K5" s="37" t="n">
        <x:v>0</x:v>
      </x:c>
      <x:c r="L5" s="37" t="n">
        <x:v>0</x:v>
      </x:c>
      <x:c r="M5" s="45" t="n">
        <x:v>1</x:v>
      </x:c>
    </x:row>
    <x:row r="6">
      <x:c r="A6" s="37" t="str">
        <x:v>PROVINCIA</x:v>
      </x:c>
      <x:c r="B6" s="37" t="str">
        <x:v>Arequipa II</x:v>
      </x:c>
      <x:c r="C6" s="37" t="n">
        <x:v>10</x:v>
      </x:c>
      <x:c r="D6" s="37" t="n">
        <x:v>8</x:v>
      </x:c>
      <x:c r="E6" s="37" t="n">
        <x:v>5</x:v>
      </x:c>
      <x:c r="F6" s="37" t="n">
        <x:v>10</x:v>
      </x:c>
      <x:c r="G6" s="37" t="n">
        <x:v>8</x:v>
      </x:c>
      <x:c r="H6" s="37" t="n">
        <x:v>5</x:v>
      </x:c>
      <x:c r="I6" s="37" t="n">
        <x:v>0</x:v>
      </x:c>
      <x:c r="J6" s="37" t="n">
        <x:v>0</x:v>
      </x:c>
      <x:c r="K6" s="37" t="n">
        <x:v>0</x:v>
      </x:c>
      <x:c r="L6" s="37" t="n">
        <x:v>0</x:v>
      </x:c>
      <x:c r="M6" s="45" t="n">
        <x:v>1</x:v>
      </x:c>
    </x:row>
    <x:row r="7">
      <x:c r="A7" s="37" t="str">
        <x:v>PROVINCIA</x:v>
      </x:c>
      <x:c r="B7" s="37" t="str">
        <x:v>Arequipa III</x:v>
      </x:c>
      <x:c r="C7" s="37" t="n">
        <x:v>7</x:v>
      </x:c>
      <x:c r="D7" s="37" t="n">
        <x:v>6</x:v>
      </x:c>
      <x:c r="E7" s="37" t="n">
        <x:v>0</x:v>
      </x:c>
      <x:c r="F7" s="37" t="n">
        <x:v>7</x:v>
      </x:c>
      <x:c r="G7" s="37" t="n">
        <x:v>6</x:v>
      </x:c>
      <x:c r="H7" s="37" t="n">
        <x:v>0</x:v>
      </x:c>
      <x:c r="I7" s="37" t="n">
        <x:v>0</x:v>
      </x:c>
      <x:c r="J7" s="37" t="n">
        <x:v>0</x:v>
      </x:c>
      <x:c r="K7" s="37" t="n">
        <x:v>0</x:v>
      </x:c>
      <x:c r="L7" s="37" t="n">
        <x:v>0</x:v>
      </x:c>
      <x:c r="M7" s="45" t="n">
        <x:v>1</x:v>
      </x:c>
    </x:row>
    <x:row r="8">
      <x:c r="A8" s="37" t="str">
        <x:v>PROVINCIA</x:v>
      </x:c>
      <x:c r="B8" s="37" t="str">
        <x:v>Chimbote</x:v>
      </x:c>
      <x:c r="C8" s="37" t="n">
        <x:v>15</x:v>
      </x:c>
      <x:c r="D8" s="37" t="n">
        <x:v>9</x:v>
      </x:c>
      <x:c r="E8" s="37" t="n">
        <x:v>0</x:v>
      </x:c>
      <x:c r="F8" s="37" t="n">
        <x:v>15</x:v>
      </x:c>
      <x:c r="G8" s="37" t="n">
        <x:v>9</x:v>
      </x:c>
      <x:c r="H8" s="37" t="n">
        <x:v>0</x:v>
      </x:c>
      <x:c r="I8" s="37" t="n">
        <x:v>0</x:v>
      </x:c>
      <x:c r="J8" s="37" t="n">
        <x:v>0</x:v>
      </x:c>
      <x:c r="K8" s="37" t="n">
        <x:v>0</x:v>
      </x:c>
      <x:c r="L8" s="37" t="n">
        <x:v>0</x:v>
      </x:c>
      <x:c r="M8" s="45" t="n">
        <x:v>1</x:v>
      </x:c>
    </x:row>
    <x:row r="9">
      <x:c r="A9" s="37" t="str">
        <x:v>PROVINCIA</x:v>
      </x:c>
      <x:c r="B9" s="37" t="str">
        <x:v>Piura</x:v>
      </x:c>
      <x:c r="C9" s="37" t="n">
        <x:v>14</x:v>
      </x:c>
      <x:c r="D9" s="37" t="n">
        <x:v>14</x:v>
      </x:c>
      <x:c r="E9" s="37" t="n">
        <x:v>8</x:v>
      </x:c>
      <x:c r="F9" s="37" t="n">
        <x:v>14</x:v>
      </x:c>
      <x:c r="G9" s="37" t="n">
        <x:v>14</x:v>
      </x:c>
      <x:c r="H9" s="37" t="n">
        <x:v>8</x:v>
      </x:c>
      <x:c r="I9" s="37" t="n">
        <x:v>0</x:v>
      </x:c>
      <x:c r="J9" s="37" t="n">
        <x:v>0</x:v>
      </x:c>
      <x:c r="K9" s="37" t="n">
        <x:v>0</x:v>
      </x:c>
      <x:c r="L9" s="37" t="n">
        <x:v>0</x:v>
      </x:c>
      <x:c r="M9" s="45" t="n">
        <x:v>1</x:v>
      </x:c>
    </x:row>
    <x:row r="10">
      <x:c r="A10" s="37" t="str">
        <x:v>PROVINCIA</x:v>
      </x:c>
      <x:c r="B10" s="37" t="str">
        <x:v>Ica</x:v>
      </x:c>
      <x:c r="C10" s="37" t="n">
        <x:v>16</x:v>
      </x:c>
      <x:c r="D10" s="37" t="n">
        <x:v>17</x:v>
      </x:c>
      <x:c r="E10" s="37" t="n">
        <x:v>0</x:v>
      </x:c>
      <x:c r="F10" s="37" t="n">
        <x:v>16</x:v>
      </x:c>
      <x:c r="G10" s="37" t="n">
        <x:v>17</x:v>
      </x:c>
      <x:c r="H10" s="37" t="n">
        <x:v>0</x:v>
      </x:c>
      <x:c r="I10" s="37" t="n">
        <x:v>0</x:v>
      </x:c>
      <x:c r="J10" s="37" t="n">
        <x:v>0</x:v>
      </x:c>
      <x:c r="K10" s="37" t="n">
        <x:v>0</x:v>
      </x:c>
      <x:c r="L10" s="37" t="n">
        <x:v>0</x:v>
      </x:c>
      <x:c r="M10" s="45" t="n">
        <x:v>1</x:v>
      </x:c>
    </x:row>
    <x:row r="11">
      <x:c r="A11" s="37" t="str">
        <x:v>PROVINCIA</x:v>
      </x:c>
      <x:c r="B11" s="37" t="str">
        <x:v>Huancayo</x:v>
      </x:c>
      <x:c r="C11" s="37" t="n">
        <x:v>12</x:v>
      </x:c>
      <x:c r="D11" s="37" t="n">
        <x:v>7</x:v>
      </x:c>
      <x:c r="E11" s="37" t="n">
        <x:v>0</x:v>
      </x:c>
      <x:c r="F11" s="37" t="n">
        <x:v>12</x:v>
      </x:c>
      <x:c r="G11" s="37" t="n">
        <x:v>7</x:v>
      </x:c>
      <x:c r="H11" s="37" t="n">
        <x:v>0</x:v>
      </x:c>
      <x:c r="I11" s="37" t="n">
        <x:v>0</x:v>
      </x:c>
      <x:c r="J11" s="37" t="n">
        <x:v>0</x:v>
      </x:c>
      <x:c r="K11" s="37" t="n">
        <x:v>0</x:v>
      </x:c>
      <x:c r="L11" s="37" t="n">
        <x:v>0</x:v>
      </x:c>
      <x:c r="M11" s="45" t="n">
        <x:v>1</x:v>
      </x:c>
    </x:row>
    <x:row r="12">
      <x:c r="A12" s="37" t="str">
        <x:v>PROVINCIA</x:v>
      </x:c>
      <x:c r="B12" s="37" t="str">
        <x:v>Huánuco</x:v>
      </x:c>
      <x:c r="C12" s="37" t="n">
        <x:v>1</x:v>
      </x:c>
      <x:c r="D12" s="37" t="n">
        <x:v>0</x:v>
      </x:c>
      <x:c r="E12" s="37" t="n">
        <x:v>0</x:v>
      </x:c>
      <x:c r="F12" s="37" t="n">
        <x:v>1</x:v>
      </x:c>
      <x:c r="G12" s="37" t="n">
        <x:v>0</x:v>
      </x:c>
      <x:c r="H12" s="37" t="n">
        <x:v>0</x:v>
      </x:c>
      <x:c r="I12" s="37" t="n">
        <x:v>0</x:v>
      </x:c>
      <x:c r="J12" s="37" t="n">
        <x:v>0</x:v>
      </x:c>
      <x:c r="K12" s="37" t="n">
        <x:v>0</x:v>
      </x:c>
      <x:c r="L12" s="37" t="n">
        <x:v>0</x:v>
      </x:c>
      <x:c r="M12" s="45" t="n">
        <x:v>1</x:v>
      </x:c>
    </x:row>
    <x:row r="13">
      <x:c r="A13" s="37" t="str">
        <x:v>PROVINCIA</x:v>
      </x:c>
      <x:c r="B13" s="37" t="str">
        <x:v>Iquitos</x:v>
      </x:c>
      <x:c r="C13" s="37" t="n">
        <x:v>9</x:v>
      </x:c>
      <x:c r="D13" s="37" t="n">
        <x:v>9</x:v>
      </x:c>
      <x:c r="E13" s="37" t="n">
        <x:v>0</x:v>
      </x:c>
      <x:c r="F13" s="37" t="n">
        <x:v>9</x:v>
      </x:c>
      <x:c r="G13" s="37" t="n">
        <x:v>9</x:v>
      </x:c>
      <x:c r="H13" s="37" t="n">
        <x:v>0</x:v>
      </x:c>
      <x:c r="I13" s="37" t="n">
        <x:v>0</x:v>
      </x:c>
      <x:c r="J13" s="37" t="n">
        <x:v>0</x:v>
      </x:c>
      <x:c r="K13" s="37" t="n">
        <x:v>0</x:v>
      </x:c>
      <x:c r="L13" s="37" t="n">
        <x:v>0</x:v>
      </x:c>
      <x:c r="M13" s="45" t="n">
        <x:v>1</x:v>
      </x:c>
    </x:row>
    <x:row r="14">
      <x:c r="A14" s="37" t="str">
        <x:v>PROVINCIA</x:v>
      </x:c>
      <x:c r="B14" s="37" t="str">
        <x:v>Pucallpa</x:v>
      </x:c>
      <x:c r="C14" s="37" t="n">
        <x:v>9</x:v>
      </x:c>
      <x:c r="D14" s="37" t="n">
        <x:v>9</x:v>
      </x:c>
      <x:c r="E14" s="37" t="n">
        <x:v>0</x:v>
      </x:c>
      <x:c r="F14" s="37" t="n">
        <x:v>9</x:v>
      </x:c>
      <x:c r="G14" s="37" t="n">
        <x:v>9</x:v>
      </x:c>
      <x:c r="H14" s="37" t="n">
        <x:v>0</x:v>
      </x:c>
      <x:c r="I14" s="37" t="n">
        <x:v>0</x:v>
      </x:c>
      <x:c r="J14" s="37" t="n">
        <x:v>0</x:v>
      </x:c>
      <x:c r="K14" s="37" t="n">
        <x:v>0</x:v>
      </x:c>
      <x:c r="L14" s="37" t="n">
        <x:v>0</x:v>
      </x:c>
      <x:c r="M14" s="45" t="n">
        <x:v>1</x:v>
      </x:c>
    </x:row>
    <x:row r="15">
      <x:c r="A15" s="37" t="str">
        <x:v>PROVINCIA</x:v>
      </x:c>
      <x:c r="B15" s="37" t="str">
        <x:v>Chiclayo</x:v>
      </x:c>
      <x:c r="C15" s="37" t="n">
        <x:v>17</x:v>
      </x:c>
      <x:c r="D15" s="37" t="n">
        <x:v>16</x:v>
      </x:c>
      <x:c r="E15" s="37" t="n">
        <x:v>8</x:v>
      </x:c>
      <x:c r="F15" s="37" t="n">
        <x:v>17</x:v>
      </x:c>
      <x:c r="G15" s="37" t="n">
        <x:v>15</x:v>
      </x:c>
      <x:c r="H15" s="37" t="n">
        <x:v>8</x:v>
      </x:c>
      <x:c r="I15" s="37" t="n">
        <x:v>0</x:v>
      </x:c>
      <x:c r="J15" s="37" t="n">
        <x:v>1</x:v>
      </x:c>
      <x:c r="K15" s="37" t="n">
        <x:v>0</x:v>
      </x:c>
      <x:c r="L15" s="37" t="n">
        <x:v>1</x:v>
      </x:c>
      <x:c r="M15" s="45" t="n">
        <x:v>0.98</x:v>
      </x:c>
    </x:row>
    <x:row r="16">
      <x:c r="A16" s="37" t="str">
        <x:v>LIMA</x:v>
      </x:c>
      <x:c r="B16" s="37" t="str">
        <x:v>Lima Norte</x:v>
      </x:c>
      <x:c r="C16" s="37" t="n">
        <x:v>19</x:v>
      </x:c>
      <x:c r="D16" s="37" t="n">
        <x:v>19</x:v>
      </x:c>
      <x:c r="E16" s="37" t="n">
        <x:v>12</x:v>
      </x:c>
      <x:c r="F16" s="37" t="n">
        <x:v>18</x:v>
      </x:c>
      <x:c r="G16" s="37" t="n">
        <x:v>18</x:v>
      </x:c>
      <x:c r="H16" s="37" t="n">
        <x:v>12</x:v>
      </x:c>
      <x:c r="I16" s="37" t="n">
        <x:v>1</x:v>
      </x:c>
      <x:c r="J16" s="37" t="n">
        <x:v>1</x:v>
      </x:c>
      <x:c r="K16" s="37" t="n">
        <x:v>0</x:v>
      </x:c>
      <x:c r="L16" s="37" t="n">
        <x:v>2</x:v>
      </x:c>
      <x:c r="M16" s="45" t="n">
        <x:v>0.96</x:v>
      </x:c>
    </x:row>
    <x:row r="17">
      <x:c r="A17" s="37" t="str">
        <x:v>PROVINCIA</x:v>
      </x:c>
      <x:c r="B17" s="37" t="str">
        <x:v>Arequipa I</x:v>
      </x:c>
      <x:c r="C17" s="37" t="n">
        <x:v>11</x:v>
      </x:c>
      <x:c r="D17" s="37" t="n">
        <x:v>8</x:v>
      </x:c>
      <x:c r="E17" s="37" t="n">
        <x:v>5</x:v>
      </x:c>
      <x:c r="F17" s="37" t="n">
        <x:v>11</x:v>
      </x:c>
      <x:c r="G17" s="37" t="n">
        <x:v>7</x:v>
      </x:c>
      <x:c r="H17" s="37" t="n">
        <x:v>5</x:v>
      </x:c>
      <x:c r="I17" s="37" t="n">
        <x:v>0</x:v>
      </x:c>
      <x:c r="J17" s="37" t="n">
        <x:v>1</x:v>
      </x:c>
      <x:c r="K17" s="37" t="n">
        <x:v>0</x:v>
      </x:c>
      <x:c r="L17" s="37" t="n">
        <x:v>1</x:v>
      </x:c>
      <x:c r="M17" s="45" t="n">
        <x:v>0.96</x:v>
      </x:c>
    </x:row>
    <x:row r="18">
      <x:c r="A18" s="37" t="str">
        <x:v>LIMA</x:v>
      </x:c>
      <x:c r="B18" s="37" t="str">
        <x:v>Sede Central</x:v>
      </x:c>
      <x:c r="C18" s="37" t="n">
        <x:v>9</x:v>
      </x:c>
      <x:c r="D18" s="37" t="n">
        <x:v>8</x:v>
      </x:c>
      <x:c r="E18" s="37" t="n">
        <x:v>5</x:v>
      </x:c>
      <x:c r="F18" s="37" t="n">
        <x:v>9</x:v>
      </x:c>
      <x:c r="G18" s="37" t="n">
        <x:v>7</x:v>
      </x:c>
      <x:c r="H18" s="37" t="n">
        <x:v>5</x:v>
      </x:c>
      <x:c r="I18" s="37" t="n">
        <x:v>0</x:v>
      </x:c>
      <x:c r="J18" s="37" t="n">
        <x:v>1</x:v>
      </x:c>
      <x:c r="K18" s="37" t="n">
        <x:v>0</x:v>
      </x:c>
      <x:c r="L18" s="37" t="n">
        <x:v>1</x:v>
      </x:c>
      <x:c r="M18" s="45" t="n">
        <x:v>0.95</x:v>
      </x:c>
    </x:row>
    <x:row r="19">
      <x:c r="A19" s="37" t="str">
        <x:v>LIMA</x:v>
      </x:c>
      <x:c r="B19" s="37" t="str">
        <x:v>Lima Sur</x:v>
      </x:c>
      <x:c r="C19" s="37" t="n">
        <x:v>23</x:v>
      </x:c>
      <x:c r="D19" s="37" t="n">
        <x:v>23</x:v>
      </x:c>
      <x:c r="E19" s="37" t="n">
        <x:v>12</x:v>
      </x:c>
      <x:c r="F19" s="37" t="n">
        <x:v>23</x:v>
      </x:c>
      <x:c r="G19" s="37" t="n">
        <x:v>20</x:v>
      </x:c>
      <x:c r="H19" s="37" t="n">
        <x:v>12</x:v>
      </x:c>
      <x:c r="I19" s="37" t="n">
        <x:v>0</x:v>
      </x:c>
      <x:c r="J19" s="37" t="n">
        <x:v>3</x:v>
      </x:c>
      <x:c r="K19" s="37" t="n">
        <x:v>0</x:v>
      </x:c>
      <x:c r="L19" s="37" t="n">
        <x:v>3</x:v>
      </x:c>
      <x:c r="M19" s="45" t="n">
        <x:v>0.95</x:v>
      </x:c>
    </x:row>
    <x:row r="20">
      <x:c r="A20" s="37" t="str">
        <x:v>LIMA</x:v>
      </x:c>
      <x:c r="B20" s="37" t="str">
        <x:v>Torre Nueva</x:v>
      </x:c>
      <x:c r="C20" s="37" t="n">
        <x:v>15</x:v>
      </x:c>
      <x:c r="D20" s="37" t="n">
        <x:v>15</x:v>
      </x:c>
      <x:c r="E20" s="37" t="n">
        <x:v>8</x:v>
      </x:c>
      <x:c r="F20" s="37" t="n">
        <x:v>15</x:v>
      </x:c>
      <x:c r="G20" s="37" t="n">
        <x:v>13</x:v>
      </x:c>
      <x:c r="H20" s="37" t="n">
        <x:v>8</x:v>
      </x:c>
      <x:c r="I20" s="37" t="n">
        <x:v>0</x:v>
      </x:c>
      <x:c r="J20" s="37" t="n">
        <x:v>2</x:v>
      </x:c>
      <x:c r="K20" s="37" t="n">
        <x:v>0</x:v>
      </x:c>
      <x:c r="L20" s="37" t="n">
        <x:v>2</x:v>
      </x:c>
      <x:c r="M20" s="45" t="n">
        <x:v>0.95</x:v>
      </x:c>
    </x:row>
    <x:row r="21">
      <x:c r="A21" s="37" t="str">
        <x:v>PROVINCIA</x:v>
      </x:c>
      <x:c r="B21" s="37" t="str">
        <x:v>Trujillo</x:v>
      </x:c>
      <x:c r="C21" s="37" t="n">
        <x:v>7</x:v>
      </x:c>
      <x:c r="D21" s="37" t="n">
        <x:v>6</x:v>
      </x:c>
      <x:c r="E21" s="37" t="n">
        <x:v>0</x:v>
      </x:c>
      <x:c r="F21" s="37" t="n">
        <x:v>6</x:v>
      </x:c>
      <x:c r="G21" s="37" t="n">
        <x:v>6</x:v>
      </x:c>
      <x:c r="H21" s="37" t="n">
        <x:v>0</x:v>
      </x:c>
      <x:c r="I21" s="37" t="n">
        <x:v>1</x:v>
      </x:c>
      <x:c r="J21" s="37" t="n">
        <x:v>0</x:v>
      </x:c>
      <x:c r="K21" s="37" t="n">
        <x:v>0</x:v>
      </x:c>
      <x:c r="L21" s="37" t="n">
        <x:v>1</x:v>
      </x:c>
      <x:c r="M21" s="45" t="n">
        <x:v>0.92</x:v>
      </x:c>
    </x:row>
    <x:row r="22">
      <x:c r="A22" s="37" t="str">
        <x:v>LIMA</x:v>
      </x:c>
      <x:c r="B22" s="37" t="str">
        <x:v>Ate</x:v>
      </x:c>
      <x:c r="C22" s="37" t="n">
        <x:v>18</x:v>
      </x:c>
      <x:c r="D22" s="37" t="n">
        <x:v>18</x:v>
      </x:c>
      <x:c r="E22" s="37" t="n">
        <x:v>9</x:v>
      </x:c>
      <x:c r="F22" s="37" t="n">
        <x:v>15</x:v>
      </x:c>
      <x:c r="G22" s="37" t="n">
        <x:v>17</x:v>
      </x:c>
      <x:c r="H22" s="37" t="n">
        <x:v>9</x:v>
      </x:c>
      <x:c r="I22" s="37" t="n">
        <x:v>3</x:v>
      </x:c>
      <x:c r="J22" s="37" t="n">
        <x:v>1</x:v>
      </x:c>
      <x:c r="K22" s="37" t="n">
        <x:v>0</x:v>
      </x:c>
      <x:c r="L22" s="37" t="n">
        <x:v>4</x:v>
      </x:c>
      <x:c r="M22" s="45" t="n">
        <x:v>0.91</x:v>
      </x:c>
    </x:row>
    <x:row r="23">
      <x:c r="A23" s="37" t="str">
        <x:v>LIMA</x:v>
      </x:c>
      <x:c r="B23" s="37" t="str">
        <x:v>SJL I</x:v>
      </x:c>
      <x:c r="C23" s="37" t="n">
        <x:v>9</x:v>
      </x:c>
      <x:c r="D23" s="37" t="n">
        <x:v>8</x:v>
      </x:c>
      <x:c r="E23" s="37" t="n">
        <x:v>0</x:v>
      </x:c>
      <x:c r="F23" s="37" t="n">
        <x:v>8</x:v>
      </x:c>
      <x:c r="G23" s="37" t="n">
        <x:v>7</x:v>
      </x:c>
      <x:c r="H23" s="37" t="n">
        <x:v>0</x:v>
      </x:c>
      <x:c r="I23" s="37" t="n">
        <x:v>1</x:v>
      </x:c>
      <x:c r="J23" s="37" t="n">
        <x:v>1</x:v>
      </x:c>
      <x:c r="K23" s="37" t="n">
        <x:v>0</x:v>
      </x:c>
      <x:c r="L23" s="37" t="n">
        <x:v>2</x:v>
      </x:c>
      <x:c r="M23" s="45" t="n">
        <x:v>0.88</x:v>
      </x:c>
    </x:row>
    <x:row r="24">
      <x:c r="A24" s="37" t="str">
        <x:v>LIMA</x:v>
      </x:c>
      <x:c r="B24" s="37" t="str">
        <x:v>SJL II</x:v>
      </x:c>
      <x:c r="C24" s="37" t="n">
        <x:v>9</x:v>
      </x:c>
      <x:c r="D24" s="37" t="n">
        <x:v>8</x:v>
      </x:c>
      <x:c r="E24" s="37" t="n">
        <x:v>0</x:v>
      </x:c>
      <x:c r="F24" s="37" t="n">
        <x:v>9</x:v>
      </x:c>
      <x:c r="G24" s="37" t="n">
        <x:v>6</x:v>
      </x:c>
      <x:c r="H24" s="37" t="n">
        <x:v>0</x:v>
      </x:c>
      <x:c r="I24" s="37" t="n">
        <x:v>0</x:v>
      </x:c>
      <x:c r="J24" s="37" t="n">
        <x:v>2</x:v>
      </x:c>
      <x:c r="K24" s="37" t="n">
        <x:v>0</x:v>
      </x:c>
      <x:c r="L24" s="37" t="n">
        <x:v>2</x:v>
      </x:c>
      <x:c r="M24" s="45" t="n">
        <x:v>0.88</x:v>
      </x:c>
    </x:row>
    <x:row r="25">
      <x:c r="A25" s="37" t="str">
        <x:v>LIMA</x:v>
      </x:c>
      <x:c r="B25" s="37" t="str">
        <x:v>Torre II</x:v>
      </x:c>
      <x:c r="C25" s="37" t="n">
        <x:v>9</x:v>
      </x:c>
      <x:c r="D25" s="37" t="n">
        <x:v>10</x:v>
      </x:c>
      <x:c r="E25" s="37" t="n">
        <x:v>5</x:v>
      </x:c>
      <x:c r="F25" s="37" t="n">
        <x:v>8</x:v>
      </x:c>
      <x:c r="G25" s="37" t="n">
        <x:v>8</x:v>
      </x:c>
      <x:c r="H25" s="37" t="n">
        <x:v>5</x:v>
      </x:c>
      <x:c r="I25" s="37" t="n">
        <x:v>1</x:v>
      </x:c>
      <x:c r="J25" s="37" t="n">
        <x:v>2</x:v>
      </x:c>
      <x:c r="K25" s="37" t="n">
        <x:v>0</x:v>
      </x:c>
      <x:c r="L25" s="37" t="n">
        <x:v>3</x:v>
      </x:c>
      <x:c r="M25" s="45" t="n">
        <x:v>0.88</x:v>
      </x:c>
    </x:row>
    <x:row r="26">
      <x:c r="A26" s="37" t="str">
        <x:v>LIMA</x:v>
      </x:c>
      <x:c r="B26" s="37" t="str">
        <x:v>José Díaz</x:v>
      </x:c>
      <x:c r="C26" s="37" t="n">
        <x:v>4</x:v>
      </x:c>
      <x:c r="D26" s="37" t="n">
        <x:v>4</x:v>
      </x:c>
      <x:c r="E26" s="37" t="n">
        <x:v>0</x:v>
      </x:c>
      <x:c r="F26" s="37" t="n">
        <x:v>4</x:v>
      </x:c>
      <x:c r="G26" s="37" t="n">
        <x:v>3</x:v>
      </x:c>
      <x:c r="H26" s="37" t="n">
        <x:v>0</x:v>
      </x:c>
      <x:c r="I26" s="37" t="n">
        <x:v>0</x:v>
      </x:c>
      <x:c r="J26" s="37" t="n">
        <x:v>1</x:v>
      </x:c>
      <x:c r="K26" s="37" t="n">
        <x:v>0</x:v>
      </x:c>
      <x:c r="L26" s="37" t="n">
        <x:v>1</x:v>
      </x:c>
      <x:c r="M26" s="45" t="n">
        <x:v>0.88</x:v>
      </x:c>
    </x:row>
    <x:row r="27">
      <x:c r="A27" s="37" t="str">
        <x:v>PROVINCIA</x:v>
      </x:c>
      <x:c r="B27" s="37" t="str">
        <x:v>Tacna</x:v>
      </x:c>
      <x:c r="C27" s="37" t="n">
        <x:v>10</x:v>
      </x:c>
      <x:c r="D27" s="37" t="n">
        <x:v>8</x:v>
      </x:c>
      <x:c r="E27" s="37" t="n">
        <x:v>0</x:v>
      </x:c>
      <x:c r="F27" s="37" t="n">
        <x:v>7</x:v>
      </x:c>
      <x:c r="G27" s="37" t="n">
        <x:v>7</x:v>
      </x:c>
      <x:c r="H27" s="37" t="n">
        <x:v>0</x:v>
      </x:c>
      <x:c r="I27" s="37" t="n">
        <x:v>3</x:v>
      </x:c>
      <x:c r="J27" s="37" t="n">
        <x:v>1</x:v>
      </x:c>
      <x:c r="K27" s="37" t="n">
        <x:v>0</x:v>
      </x:c>
      <x:c r="L27" s="37" t="n">
        <x:v>4</x:v>
      </x:c>
      <x:c r="M27" s="45" t="n">
        <x:v>0.78</x:v>
      </x:c>
    </x:row>
    <x:row r="28">
      <x:c r="A28" s="37" t="str">
        <x:v>LIMA</x:v>
      </x:c>
      <x:c r="B28" s="37" t="str">
        <x:v>Pacífico</x:v>
      </x:c>
      <x:c r="C28" s="37" t="n">
        <x:v>7</x:v>
      </x:c>
      <x:c r="D28" s="37" t="n">
        <x:v>6</x:v>
      </x:c>
      <x:c r="E28" s="37" t="n">
        <x:v>0</x:v>
      </x:c>
      <x:c r="F28" s="37" t="n">
        <x:v>7</x:v>
      </x:c>
      <x:c r="G28" s="37" t="n">
        <x:v>3</x:v>
      </x:c>
      <x:c r="H28" s="37" t="n">
        <x:v>0</x:v>
      </x:c>
      <x:c r="I28" s="37" t="n">
        <x:v>0</x:v>
      </x:c>
      <x:c r="J28" s="37" t="n">
        <x:v>3</x:v>
      </x:c>
      <x:c r="K28" s="37" t="n">
        <x:v>0</x:v>
      </x:c>
      <x:c r="L28" s="37" t="n">
        <x:v>3</x:v>
      </x:c>
      <x:c r="M28" s="45" t="n">
        <x:v>0.77</x:v>
      </x:c>
    </x:row>
    <x:row r="29">
      <x:c r="A29" s="38" t="str">
        <x:v>PROVINCIA</x:v>
      </x:c>
      <x:c r="B29" s="38" t="str">
        <x:v>Arequipa Postgrado</x:v>
      </x:c>
      <x:c r="C29" s="38" t="n">
        <x:v>1</x:v>
      </x:c>
      <x:c r="D29" s="38" t="n">
        <x:v>2</x:v>
      </x:c>
      <x:c r="E29" s="38" t="n">
        <x:v>0</x:v>
      </x:c>
      <x:c r="F29" s="38" t="n">
        <x:v>0</x:v>
      </x:c>
      <x:c r="G29" s="38" t="n">
        <x:v>2</x:v>
      </x:c>
      <x:c r="H29" s="38" t="n">
        <x:v>0</x:v>
      </x:c>
      <x:c r="I29" s="38" t="n">
        <x:v>1</x:v>
      </x:c>
      <x:c r="J29" s="38" t="n">
        <x:v>0</x:v>
      </x:c>
      <x:c r="K29" s="38" t="n">
        <x:v>0</x:v>
      </x:c>
      <x:c r="L29" s="38" t="n">
        <x:v>1</x:v>
      </x:c>
      <x:c r="M29" s="46" t="n">
        <x:v>0.67</x:v>
      </x:c>
    </x:row>
  </x:sheetData>
  <x:conditionalFormatting sqref="M2:M29">
    <x:cfRule type="colorScale" priority="1">
      <x:colorScale>
        <x:cfvo type="min"/>
        <x:cfvo type="percentile" val="50"/>
        <x:cfvo type="max"/>
        <x:color rgb="FFFBEAEA"/>
        <x:color rgb="FFFBF0DA"/>
        <x:color rgb="FFE5F5EB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42cc743eb0d24d8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34" hidden="0" customWidth="1"/>
    <x:col min="3" max="3" width="18" hidden="0" customWidth="1"/>
  </x:cols>
  <x:sheetData>
    <x:row r="1" ht="30" customHeight="1">
      <x:c r="A1" s="24" t="str">
        <x:v>periodo</x:v>
      </x:c>
      <x:c r="B1" s="24" t="str">
        <x:v>concepto</x:v>
      </x:c>
      <x:c r="C1" s="24" t="str">
        <x:v>monto</x:v>
      </x:c>
    </x:row>
    <x:row r="2">
      <x:c r="A2" s="37" t="str">
        <x:v>2026-03</x:v>
      </x:c>
      <x:c r="B2" s="37" t="str">
        <x:v>Descuentos faltas/tardanzas</x:v>
      </x:c>
      <x:c r="C2" s="49" t="n">
        <x:v>10427</x:v>
      </x:c>
    </x:row>
    <x:row r="3">
      <x:c r="A3" s="37" t="str">
        <x:v>2026-03</x:v>
      </x:c>
      <x:c r="B3" s="37" t="str">
        <x:v>Penalidades</x:v>
      </x:c>
      <x:c r="C3" s="49" t="n">
        <x:v>0</x:v>
      </x:c>
    </x:row>
    <x:row r="4">
      <x:c r="A4" s="37" t="str">
        <x:v>2026-04</x:v>
      </x:c>
      <x:c r="B4" s="37" t="str">
        <x:v>Descuentos faltas/tardanzas</x:v>
      </x:c>
      <x:c r="C4" s="49" t="n">
        <x:v>248627</x:v>
      </x:c>
    </x:row>
    <x:row r="5">
      <x:c r="A5" s="37" t="str">
        <x:v>2026-04</x:v>
      </x:c>
      <x:c r="B5" s="37" t="str">
        <x:v>Penalidades</x:v>
      </x:c>
      <x:c r="C5" s="49" t="n">
        <x:v>31443</x:v>
      </x:c>
    </x:row>
    <x:row r="6">
      <x:c r="A6" s="37" t="str">
        <x:v>2026-05</x:v>
      </x:c>
      <x:c r="B6" s="37" t="str">
        <x:v>Descuentos faltas/tardanzas</x:v>
      </x:c>
      <x:c r="C6" s="49" t="n">
        <x:v>45862</x:v>
      </x:c>
    </x:row>
    <x:row r="7">
      <x:c r="A7" s="37" t="str">
        <x:v>2026-05</x:v>
      </x:c>
      <x:c r="B7" s="37" t="str">
        <x:v>Penalidades</x:v>
      </x:c>
      <x:c r="C7" s="49" t="n">
        <x:v>2507</x:v>
      </x:c>
    </x:row>
    <x:row r="8">
      <x:c r="A8" s="37" t="str">
        <x:v>2026-06</x:v>
      </x:c>
      <x:c r="B8" s="37" t="str">
        <x:v>Descuentos faltas/tardanzas</x:v>
      </x:c>
      <x:c r="C8" s="49" t="n">
        <x:v>37330</x:v>
      </x:c>
    </x:row>
    <x:row r="9">
      <x:c r="A9" s="37" t="str">
        <x:v>2026-06</x:v>
      </x:c>
      <x:c r="B9" s="37" t="str">
        <x:v>Penalidades</x:v>
      </x:c>
      <x:c r="C9" s="49" t="n">
        <x:v>3902</x:v>
      </x:c>
    </x:row>
    <x:row r="10">
      <x:c r="A10" s="37" t="str">
        <x:v>2026-07</x:v>
      </x:c>
      <x:c r="B10" s="37" t="str">
        <x:v>Descuentos faltas/tardanzas</x:v>
      </x:c>
      <x:c r="C10" s="49" t="n">
        <x:v>33645</x:v>
      </x:c>
    </x:row>
    <x:row r="11">
      <x:c r="A11" s="38" t="str">
        <x:v>2026-07</x:v>
      </x:c>
      <x:c r="B11" s="38" t="str">
        <x:v>Penalidades</x:v>
      </x:c>
      <x:c r="C11" s="50" t="n">
        <x:v>493</x:v>
      </x:c>
    </x:row>
  </x:sheetData>
  <x:pageMargins left="0.7" right="0.7" top="0.75" bottom="0.75" header="0.3" footer="0.3"/>
  <x:tableParts count="1">
    <x:tablePart xmlns:r="http://schemas.openxmlformats.org/officeDocument/2006/relationships" r:id="Rfe276a8f196d487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18" hidden="0" customWidth="1"/>
    <x:col min="3" max="3" width="18" hidden="0" customWidth="1"/>
    <x:col min="4" max="4" width="18" hidden="0" customWidth="1"/>
    <x:col min="5" max="5" width="14" hidden="0" customWidth="1"/>
    <x:col min="6" max="6" width="14" hidden="0" customWidth="1"/>
  </x:cols>
  <x:sheetData>
    <x:row r="1" ht="30" customHeight="1">
      <x:c r="A1" s="24" t="str">
        <x:v>campus</x:v>
      </x:c>
      <x:c r="B1" s="24" t="str">
        <x:v>tiempo_acepta_min</x:v>
      </x:c>
      <x:c r="C1" s="24" t="str">
        <x:v>tiempo_atiende_min</x:v>
      </x:c>
      <x:c r="D1" s="24" t="str">
        <x:v>tiempo_total_min</x:v>
      </x:c>
      <x:c r="E1" s="24" t="str">
        <x:v>valoracion</x:v>
      </x:c>
      <x:c r="F1" s="24" t="str">
        <x:v>es_subsede</x:v>
      </x:c>
    </x:row>
    <x:row r="2">
      <x:c r="A2" s="37" t="str">
        <x:v>Campus Chimbote</x:v>
      </x:c>
      <x:c r="B2" s="41" t="n">
        <x:v>1.73</x:v>
      </x:c>
      <x:c r="C2" s="41" t="n">
        <x:v>2.5</x:v>
      </x:c>
      <x:c r="D2" s="41" t="n">
        <x:v>4.3</x:v>
      </x:c>
      <x:c r="E2" s="41" t="n">
        <x:v>4.7</x:v>
      </x:c>
      <x:c r="F2" s="62" t="b">
        <x:v>0</x:v>
      </x:c>
    </x:row>
    <x:row r="3">
      <x:c r="A3" s="37" t="str">
        <x:v>Campus Iquitos</x:v>
      </x:c>
      <x:c r="B3" s="41" t="n">
        <x:v>2.19</x:v>
      </x:c>
      <x:c r="C3" s="41" t="n">
        <x:v>3.91</x:v>
      </x:c>
      <x:c r="D3" s="41" t="n">
        <x:v>6.2</x:v>
      </x:c>
      <x:c r="E3" s="41" t="n">
        <x:v>5</x:v>
      </x:c>
      <x:c r="F3" s="62" t="b">
        <x:v>0</x:v>
      </x:c>
    </x:row>
    <x:row r="4">
      <x:c r="A4" s="37" t="str">
        <x:v>Campus Trujillo</x:v>
      </x:c>
      <x:c r="B4" s="41" t="n">
        <x:v>2.58</x:v>
      </x:c>
      <x:c r="C4" s="41" t="n">
        <x:v>3.77</x:v>
      </x:c>
      <x:c r="D4" s="41" t="n">
        <x:v>6.4</x:v>
      </x:c>
      <x:c r="E4" s="41" t="n">
        <x:v>5</x:v>
      </x:c>
      <x:c r="F4" s="62" t="b">
        <x:v>0</x:v>
      </x:c>
    </x:row>
    <x:row r="5">
      <x:c r="A5" s="37" t="str">
        <x:v>Campus Piura</x:v>
      </x:c>
      <x:c r="B5" s="41" t="n">
        <x:v>2.4</x:v>
      </x:c>
      <x:c r="C5" s="41" t="n">
        <x:v>4.13</x:v>
      </x:c>
      <x:c r="D5" s="41" t="n">
        <x:v>6.4</x:v>
      </x:c>
      <x:c r="E5" s="41" t="n">
        <x:v>4.7</x:v>
      </x:c>
      <x:c r="F5" s="62" t="b">
        <x:v>0</x:v>
      </x:c>
    </x:row>
    <x:row r="6">
      <x:c r="A6" s="37" t="str">
        <x:v>Campus Ate UTP</x:v>
      </x:c>
      <x:c r="B6" s="41" t="n">
        <x:v>1.73</x:v>
      </x:c>
      <x:c r="C6" s="41" t="n">
        <x:v>5.44</x:v>
      </x:c>
      <x:c r="D6" s="41" t="n">
        <x:v>6.9</x:v>
      </x:c>
      <x:c r="E6" s="41" t="n">
        <x:v>4.6</x:v>
      </x:c>
      <x:c r="F6" s="62" t="b">
        <x:v>0</x:v>
      </x:c>
    </x:row>
    <x:row r="7">
      <x:c r="A7" s="37" t="str">
        <x:v>Campus Huancayo</x:v>
      </x:c>
      <x:c r="B7" s="41" t="n">
        <x:v>3.13</x:v>
      </x:c>
      <x:c r="C7" s="41" t="n">
        <x:v>3.79</x:v>
      </x:c>
      <x:c r="D7" s="41" t="n">
        <x:v>6.9</x:v>
      </x:c>
      <x:c r="E7" s="41"/>
      <x:c r="F7" s="62" t="b">
        <x:v>0</x:v>
      </x:c>
    </x:row>
    <x:row r="8">
      <x:c r="A8" s="37" t="str">
        <x:v>Campus Arequipa</x:v>
      </x:c>
      <x:c r="B8" s="41" t="n">
        <x:v>2.75</x:v>
      </x:c>
      <x:c r="C8" s="41" t="n">
        <x:v>4.45</x:v>
      </x:c>
      <x:c r="D8" s="41" t="n">
        <x:v>7.2</x:v>
      </x:c>
      <x:c r="E8" s="41" t="n">
        <x:v>4.8</x:v>
      </x:c>
      <x:c r="F8" s="62" t="b">
        <x:v>0</x:v>
      </x:c>
    </x:row>
    <x:row r="9">
      <x:c r="A9" s="37" t="str">
        <x:v>Parra</x:v>
      </x:c>
      <x:c r="B9" s="41" t="n">
        <x:v>2.9</x:v>
      </x:c>
      <x:c r="C9" s="41" t="n">
        <x:v>4.2</x:v>
      </x:c>
      <x:c r="D9" s="41" t="n">
        <x:v>7.1</x:v>
      </x:c>
      <x:c r="E9" s="41" t="n">
        <x:v>4.8</x:v>
      </x:c>
      <x:c r="F9" s="62" t="b">
        <x:v>1</x:v>
      </x:c>
    </x:row>
    <x:row r="10">
      <x:c r="A10" s="37" t="str">
        <x:v>Tacna y Arica</x:v>
      </x:c>
      <x:c r="B10" s="41" t="n">
        <x:v>2.35</x:v>
      </x:c>
      <x:c r="C10" s="41" t="n">
        <x:v>4.76</x:v>
      </x:c>
      <x:c r="D10" s="41" t="n">
        <x:v>7.3</x:v>
      </x:c>
      <x:c r="E10" s="41" t="n">
        <x:v>4.9</x:v>
      </x:c>
      <x:c r="F10" s="62" t="b">
        <x:v>1</x:v>
      </x:c>
    </x:row>
    <x:row r="11">
      <x:c r="A11" s="37" t="str">
        <x:v>Parra 2</x:v>
      </x:c>
      <x:c r="B11" s="41" t="n">
        <x:v>2.94</x:v>
      </x:c>
      <x:c r="C11" s="41" t="n">
        <x:v>4.48</x:v>
      </x:c>
      <x:c r="D11" s="41" t="n">
        <x:v>7.3</x:v>
      </x:c>
      <x:c r="E11" s="41" t="n">
        <x:v>4.7</x:v>
      </x:c>
      <x:c r="F11" s="62" t="b">
        <x:v>1</x:v>
      </x:c>
    </x:row>
    <x:row r="12">
      <x:c r="A12" s="37" t="str">
        <x:v>Campus San Juan de Lurigancho</x:v>
      </x:c>
      <x:c r="B12" s="41" t="n">
        <x:v>4.48</x:v>
      </x:c>
      <x:c r="C12" s="41" t="n">
        <x:v>3.04</x:v>
      </x:c>
      <x:c r="D12" s="41" t="n">
        <x:v>7.7</x:v>
      </x:c>
      <x:c r="E12" s="41" t="n">
        <x:v>4.4</x:v>
      </x:c>
      <x:c r="F12" s="62" t="b">
        <x:v>0</x:v>
      </x:c>
    </x:row>
    <x:row r="13">
      <x:c r="A13" s="37" t="str">
        <x:v>Campus Lima</x:v>
      </x:c>
      <x:c r="B13" s="41" t="n">
        <x:v>3.64</x:v>
      </x:c>
      <x:c r="C13" s="41" t="n">
        <x:v>4.38</x:v>
      </x:c>
      <x:c r="D13" s="41" t="n">
        <x:v>8.1</x:v>
      </x:c>
      <x:c r="E13" s="41" t="n">
        <x:v>3.8</x:v>
      </x:c>
      <x:c r="F13" s="62" t="b">
        <x:v>0</x:v>
      </x:c>
    </x:row>
    <x:row r="14">
      <x:c r="A14" s="37" t="str">
        <x:v>Torre Petit Thouars</x:v>
      </x:c>
      <x:c r="B14" s="41" t="n">
        <x:v>1.65</x:v>
      </x:c>
      <x:c r="C14" s="41" t="n">
        <x:v>3.28</x:v>
      </x:c>
      <x:c r="D14" s="41" t="n">
        <x:v>5</x:v>
      </x:c>
      <x:c r="E14" s="41" t="n">
        <x:v>3.4</x:v>
      </x:c>
      <x:c r="F14" s="62" t="b">
        <x:v>1</x:v>
      </x:c>
    </x:row>
    <x:row r="15">
      <x:c r="A15" s="37" t="str">
        <x:v>Edificio Pacífico</x:v>
      </x:c>
      <x:c r="B15" s="41" t="n">
        <x:v>1.7</x:v>
      </x:c>
      <x:c r="C15" s="41" t="n">
        <x:v>3.34</x:v>
      </x:c>
      <x:c r="D15" s="41" t="n">
        <x:v>5</x:v>
      </x:c>
      <x:c r="E15" s="41" t="n">
        <x:v>4.7</x:v>
      </x:c>
      <x:c r="F15" s="62" t="b">
        <x:v>1</x:v>
      </x:c>
    </x:row>
    <x:row r="16">
      <x:c r="A16" s="37" t="str">
        <x:v>Torre Arequipa</x:v>
      </x:c>
      <x:c r="B16" s="41" t="n">
        <x:v>3.96</x:v>
      </x:c>
      <x:c r="C16" s="41" t="n">
        <x:v>3.79</x:v>
      </x:c>
      <x:c r="D16" s="41" t="n">
        <x:v>7.8</x:v>
      </x:c>
      <x:c r="E16" s="41" t="n">
        <x:v>4.1</x:v>
      </x:c>
      <x:c r="F16" s="62" t="b">
        <x:v>1</x:v>
      </x:c>
    </x:row>
    <x:row r="17">
      <x:c r="A17" s="37" t="str">
        <x:v>Sede Central</x:v>
      </x:c>
      <x:c r="B17" s="41" t="n">
        <x:v>6.44</x:v>
      </x:c>
      <x:c r="C17" s="41" t="n">
        <x:v>7.66</x:v>
      </x:c>
      <x:c r="D17" s="41" t="n">
        <x:v>13.9</x:v>
      </x:c>
      <x:c r="E17" s="41" t="n">
        <x:v>3.1</x:v>
      </x:c>
      <x:c r="F17" s="62" t="b">
        <x:v>1</x:v>
      </x:c>
    </x:row>
    <x:row r="18">
      <x:c r="A18" s="37" t="str">
        <x:v>Campus Chiclayo</x:v>
      </x:c>
      <x:c r="B18" s="41" t="n">
        <x:v>4.82</x:v>
      </x:c>
      <x:c r="C18" s="41" t="n">
        <x:v>3.91</x:v>
      </x:c>
      <x:c r="D18" s="41" t="n">
        <x:v>8.8</x:v>
      </x:c>
      <x:c r="E18" s="41" t="n">
        <x:v>4.7</x:v>
      </x:c>
      <x:c r="F18" s="62" t="b">
        <x:v>0</x:v>
      </x:c>
    </x:row>
    <x:row r="19">
      <x:c r="A19" s="37" t="str">
        <x:v>Campus Ica</x:v>
      </x:c>
      <x:c r="B19" s="41" t="n">
        <x:v>5.98</x:v>
      </x:c>
      <x:c r="C19" s="41" t="n">
        <x:v>3.42</x:v>
      </x:c>
      <x:c r="D19" s="41" t="n">
        <x:v>9.1</x:v>
      </x:c>
      <x:c r="E19" s="41" t="n">
        <x:v>3.9</x:v>
      </x:c>
      <x:c r="F19" s="62" t="b">
        <x:v>0</x:v>
      </x:c>
    </x:row>
    <x:row r="20">
      <x:c r="A20" s="37" t="str">
        <x:v>Campus Tacna</x:v>
      </x:c>
      <x:c r="B20" s="41" t="n">
        <x:v>3.88</x:v>
      </x:c>
      <x:c r="C20" s="41" t="n">
        <x:v>5.45</x:v>
      </x:c>
      <x:c r="D20" s="41" t="n">
        <x:v>9.3</x:v>
      </x:c>
      <x:c r="E20" s="41" t="n">
        <x:v>4.9</x:v>
      </x:c>
      <x:c r="F20" s="62" t="b">
        <x:v>0</x:v>
      </x:c>
    </x:row>
    <x:row r="21">
      <x:c r="A21" s="37" t="str">
        <x:v>Campus Pucallpa</x:v>
      </x:c>
      <x:c r="B21" s="41" t="n">
        <x:v>10.39</x:v>
      </x:c>
      <x:c r="C21" s="41" t="n">
        <x:v>0.28</x:v>
      </x:c>
      <x:c r="D21" s="41" t="n">
        <x:v>10.9</x:v>
      </x:c>
      <x:c r="E21" s="41" t="n">
        <x:v>4.6</x:v>
      </x:c>
      <x:c r="F21" s="62" t="b">
        <x:v>0</x:v>
      </x:c>
    </x:row>
    <x:row r="22">
      <x:c r="A22" s="37" t="str">
        <x:v>Campus Lima Norte UTP</x:v>
      </x:c>
      <x:c r="B22" s="41" t="n">
        <x:v>6.05</x:v>
      </x:c>
      <x:c r="C22" s="41" t="n">
        <x:v>7.85</x:v>
      </x:c>
      <x:c r="D22" s="41" t="n">
        <x:v>14.1</x:v>
      </x:c>
      <x:c r="E22" s="41" t="n">
        <x:v>4.3</x:v>
      </x:c>
      <x:c r="F22" s="62" t="b">
        <x:v>0</x:v>
      </x:c>
    </x:row>
    <x:row r="23">
      <x:c r="A23" s="38" t="str">
        <x:v>Campus Lima Sur UTP</x:v>
      </x:c>
      <x:c r="B23" s="42" t="n">
        <x:v>8.94</x:v>
      </x:c>
      <x:c r="C23" s="42" t="n">
        <x:v>7.73</x:v>
      </x:c>
      <x:c r="D23" s="42" t="n">
        <x:v>16.5</x:v>
      </x:c>
      <x:c r="E23" s="42" t="n">
        <x:v>4.2</x:v>
      </x:c>
      <x:c r="F23" s="63" t="b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a066dc546b74c45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8" hidden="0" customWidth="1"/>
  </x:cols>
  <x:sheetData>
    <x:row r="1" ht="30" customHeight="1">
      <x:c r="A1" s="24" t="str">
        <x:v>tipo_incidencia</x:v>
      </x:c>
      <x:c r="B1" s="24" t="str">
        <x:v>participacion</x:v>
      </x:c>
    </x:row>
    <x:row r="2">
      <x:c r="A2" s="37" t="str">
        <x:v>Problema con la PC</x:v>
      </x:c>
      <x:c r="B2" s="45" t="n">
        <x:v>0.31</x:v>
      </x:c>
    </x:row>
    <x:row r="3">
      <x:c r="A3" s="37" t="str">
        <x:v>Problema con el proyector</x:v>
      </x:c>
      <x:c r="B3" s="45" t="n">
        <x:v>0.28</x:v>
      </x:c>
    </x:row>
    <x:row r="4">
      <x:c r="A4" s="37" t="str">
        <x:v>Problema con el audio</x:v>
      </x:c>
      <x:c r="B4" s="45" t="n">
        <x:v>0.14</x:v>
      </x:c>
    </x:row>
    <x:row r="5">
      <x:c r="A5" s="37" t="str">
        <x:v>Problema con el Zoom</x:v>
      </x:c>
      <x:c r="B5" s="45" t="n">
        <x:v>0.14</x:v>
      </x:c>
    </x:row>
    <x:row r="6">
      <x:c r="A6" s="38" t="str">
        <x:v>Ambiente cerrado</x:v>
      </x:c>
      <x:c r="B6" s="46" t="n">
        <x:v>0.13</x:v>
      </x:c>
    </x:row>
  </x:sheetData>
  <x:conditionalFormatting sqref="B2:B6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{D3D4E404-6D81-4139-A927-0B4E6FF0FDFC}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3d13ac4dbce640f5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D3D4E404-6D81-4139-A927-0B4E6FF0FDFC}">
            <x14:dataBar gradient="1">
              <x14:cfvo type="min"/>
              <x14:cfvo type="max"/>
              <x14:fillColor rgb="FFA02B93"/>
            </x14:dataBar>
          </x14:cfRule>
          <xm:sqref>B2:B6</xm:sqref>
        </x14:conditionalFormatting>
      </x14:conditionalFormattings>
    </x:ext>
  </x:extLst>
</x:worksheet>
</file>

<file path=xl/worksheets/sheet7.xml><?xml version="1.0" encoding="utf-8"?>
<x:worksheet xmlns:x="http://schemas.openxmlformats.org/spreadsheetml/2006/main">
  <x:sheetFormatPr defaultRowHeight="15"/>
  <x:cols>
    <x:col min="1" max="1" width="42" hidden="0" customWidth="1"/>
    <x:col min="2" max="2" width="18" hidden="0" customWidth="1"/>
    <x:col min="3" max="3" width="16" hidden="0" customWidth="1"/>
    <x:col min="4" max="4" width="14" hidden="0" customWidth="1"/>
    <x:col min="5" max="5" width="14" hidden="0" customWidth="1"/>
    <x:col min="6" max="6" width="18" hidden="0" customWidth="1"/>
    <x:col min="7" max="7" width="14" hidden="0" customWidth="1"/>
  </x:cols>
  <x:sheetData>
    <x:row r="1" ht="30" customHeight="1">
      <x:c r="A1" s="24" t="str">
        <x:v>sede</x:v>
      </x:c>
      <x:c r="B1" s="24" t="str">
        <x:v>dispositivos_asignados</x:v>
      </x:c>
      <x:c r="C1" s="24" t="str">
        <x:v>responsables</x:v>
      </x:c>
      <x:c r="D1" s="24" t="str">
        <x:v>programado</x:v>
      </x:c>
      <x:c r="E1" s="24" t="str">
        <x:v>ejecutado</x:v>
      </x:c>
      <x:c r="F1" s="24" t="str">
        <x:v>cumplimiento_pct</x:v>
      </x:c>
      <x:c r="G1" s="24" t="str">
        <x:v>es_subsede</x:v>
      </x:c>
    </x:row>
    <x:row r="2">
      <x:c r="A2" s="37" t="str">
        <x:v>03. UTP SJL</x:v>
      </x:c>
      <x:c r="B2" s="37" t="n">
        <x:v>24</x:v>
      </x:c>
      <x:c r="C2" s="37" t="n">
        <x:v>9</x:v>
      </x:c>
      <x:c r="D2" s="37" t="n">
        <x:v>140</x:v>
      </x:c>
      <x:c r="E2" s="37" t="n">
        <x:v>2202</x:v>
      </x:c>
      <x:c r="F2" s="45" t="n">
        <x:v>1</x:v>
      </x:c>
      <x:c r="G2" s="62" t="b">
        <x:v>0</x:v>
      </x:c>
    </x:row>
    <x:row r="3">
      <x:c r="A3" s="37" t="str">
        <x:v>04. UTP Ate</x:v>
      </x:c>
      <x:c r="B3" s="37" t="n">
        <x:v>22</x:v>
      </x:c>
      <x:c r="C3" s="37" t="n">
        <x:v>12</x:v>
      </x:c>
      <x:c r="D3" s="37" t="n">
        <x:v>144</x:v>
      </x:c>
      <x:c r="E3" s="37" t="n">
        <x:v>2149</x:v>
      </x:c>
      <x:c r="F3" s="45" t="n">
        <x:v>1</x:v>
      </x:c>
      <x:c r="G3" s="62" t="b">
        <x:v>0</x:v>
      </x:c>
    </x:row>
    <x:row r="4">
      <x:c r="A4" s="37" t="str">
        <x:v>05. UTP Lima Sur</x:v>
      </x:c>
      <x:c r="B4" s="37" t="n">
        <x:v>20</x:v>
      </x:c>
      <x:c r="C4" s="37" t="n">
        <x:v>15</x:v>
      </x:c>
      <x:c r="D4" s="37" t="n">
        <x:v>100</x:v>
      </x:c>
      <x:c r="E4" s="37" t="n">
        <x:v>1686</x:v>
      </x:c>
      <x:c r="F4" s="45" t="n">
        <x:v>1</x:v>
      </x:c>
      <x:c r="G4" s="62" t="b">
        <x:v>0</x:v>
      </x:c>
    </x:row>
    <x:row r="5">
      <x:c r="A5" s="37" t="str">
        <x:v>06. UTP Arequipa</x:v>
      </x:c>
      <x:c r="B5" s="37" t="n">
        <x:v>65</x:v>
      </x:c>
      <x:c r="C5" s="37" t="n">
        <x:v>23</x:v>
      </x:c>
      <x:c r="D5" s="37" t="n">
        <x:v>408</x:v>
      </x:c>
      <x:c r="E5" s="37" t="n">
        <x:v>5848</x:v>
      </x:c>
      <x:c r="F5" s="45" t="n">
        <x:v>1</x:v>
      </x:c>
      <x:c r="G5" s="62" t="b">
        <x:v>0</x:v>
      </x:c>
    </x:row>
    <x:row r="6">
      <x:c r="A6" s="37" t="str">
        <x:v>09. UTP Piura</x:v>
      </x:c>
      <x:c r="B6" s="37" t="n">
        <x:v>17</x:v>
      </x:c>
      <x:c r="C6" s="37" t="n">
        <x:v>13</x:v>
      </x:c>
      <x:c r="D6" s="37" t="n">
        <x:v>136</x:v>
      </x:c>
      <x:c r="E6" s="37" t="n">
        <x:v>882</x:v>
      </x:c>
      <x:c r="F6" s="45" t="n">
        <x:v>1</x:v>
      </x:c>
      <x:c r="G6" s="62" t="b">
        <x:v>0</x:v>
      </x:c>
    </x:row>
    <x:row r="7">
      <x:c r="A7" s="37" t="str">
        <x:v>10. UTP Chimbote</x:v>
      </x:c>
      <x:c r="B7" s="37" t="n">
        <x:v>17</x:v>
      </x:c>
      <x:c r="C7" s="37" t="n">
        <x:v>10</x:v>
      </x:c>
      <x:c r="D7" s="37" t="n">
        <x:v>340</x:v>
      </x:c>
      <x:c r="E7" s="37" t="n">
        <x:v>2210</x:v>
      </x:c>
      <x:c r="F7" s="45" t="n">
        <x:v>1</x:v>
      </x:c>
      <x:c r="G7" s="62" t="b">
        <x:v>0</x:v>
      </x:c>
    </x:row>
    <x:row r="8">
      <x:c r="A8" s="37" t="str">
        <x:v>11. UTP Huancayo</x:v>
      </x:c>
      <x:c r="B8" s="37" t="n">
        <x:v>16</x:v>
      </x:c>
      <x:c r="C8" s="37" t="n">
        <x:v>7</x:v>
      </x:c>
      <x:c r="D8" s="37" t="n">
        <x:v>140</x:v>
      </x:c>
      <x:c r="E8" s="37" t="n">
        <x:v>1625</x:v>
      </x:c>
      <x:c r="F8" s="45" t="n">
        <x:v>1</x:v>
      </x:c>
      <x:c r="G8" s="62" t="b">
        <x:v>0</x:v>
      </x:c>
    </x:row>
    <x:row r="9">
      <x:c r="A9" s="37" t="str">
        <x:v>02. UTP Lima Norte</x:v>
      </x:c>
      <x:c r="B9" s="37" t="n">
        <x:v>37</x:v>
      </x:c>
      <x:c r="C9" s="37" t="n">
        <x:v>17</x:v>
      </x:c>
      <x:c r="D9" s="37" t="n">
        <x:v>194</x:v>
      </x:c>
      <x:c r="E9" s="37" t="n">
        <x:v>1274</x:v>
      </x:c>
      <x:c r="F9" s="45" t="n">
        <x:v>0.99</x:v>
      </x:c>
      <x:c r="G9" s="62" t="b">
        <x:v>0</x:v>
      </x:c>
    </x:row>
    <x:row r="10">
      <x:c r="A10" s="37" t="str">
        <x:v>07. UTP Chiclayo</x:v>
      </x:c>
      <x:c r="B10" s="37" t="n">
        <x:v>51</x:v>
      </x:c>
      <x:c r="C10" s="37" t="n">
        <x:v>16</x:v>
      </x:c>
      <x:c r="D10" s="37" t="n">
        <x:v>282</x:v>
      </x:c>
      <x:c r="E10" s="37" t="n">
        <x:v>3760</x:v>
      </x:c>
      <x:c r="F10" s="45" t="n">
        <x:v>0.98</x:v>
      </x:c>
      <x:c r="G10" s="62" t="b">
        <x:v>0</x:v>
      </x:c>
    </x:row>
    <x:row r="11">
      <x:c r="A11" s="37" t="str">
        <x:v>01. UTP Lima Centro</x:v>
      </x:c>
      <x:c r="B11" s="37" t="n">
        <x:v>88</x:v>
      </x:c>
      <x:c r="C11" s="37" t="n">
        <x:v>32</x:v>
      </x:c>
      <x:c r="D11" s="37" t="n">
        <x:v>491</x:v>
      </x:c>
      <x:c r="E11" s="37" t="n">
        <x:v>5244</x:v>
      </x:c>
      <x:c r="F11" s="45" t="n">
        <x:v>0.98</x:v>
      </x:c>
      <x:c r="G11" s="62" t="b">
        <x:v>0</x:v>
      </x:c>
    </x:row>
    <x:row r="12">
      <x:c r="A12" s="37" t="str">
        <x:v>01. UTP Lima Centro Sede Central</x:v>
      </x:c>
      <x:c r="B12" s="37" t="n">
        <x:v>36</x:v>
      </x:c>
      <x:c r="C12" s="37" t="n">
        <x:v>9</x:v>
      </x:c>
      <x:c r="D12" s="37" t="n">
        <x:v>157</x:v>
      </x:c>
      <x:c r="E12" s="37" t="n">
        <x:v>1327</x:v>
      </x:c>
      <x:c r="F12" s="45" t="n">
        <x:v>1</x:v>
      </x:c>
      <x:c r="G12" s="62" t="b">
        <x:v>1</x:v>
      </x:c>
    </x:row>
    <x:row r="13">
      <x:c r="A13" s="37" t="str">
        <x:v>03. UTP Lima Centro Torre Petit Thouars</x:v>
      </x:c>
      <x:c r="B13" s="37" t="n">
        <x:v>19</x:v>
      </x:c>
      <x:c r="C13" s="37" t="n">
        <x:v>6</x:v>
      </x:c>
      <x:c r="D13" s="37" t="n">
        <x:v>152</x:v>
      </x:c>
      <x:c r="E13" s="37" t="n">
        <x:v>1851</x:v>
      </x:c>
      <x:c r="F13" s="45" t="n">
        <x:v>1</x:v>
      </x:c>
      <x:c r="G13" s="62" t="b">
        <x:v>1</x:v>
      </x:c>
    </x:row>
    <x:row r="14">
      <x:c r="A14" s="37" t="str">
        <x:v>04. UTP Lima Centro Torre Pacífico</x:v>
      </x:c>
      <x:c r="B14" s="37" t="n">
        <x:v>13</x:v>
      </x:c>
      <x:c r="C14" s="37" t="n">
        <x:v>6</x:v>
      </x:c>
      <x:c r="D14" s="37" t="n">
        <x:v>104</x:v>
      </x:c>
      <x:c r="E14" s="37" t="n">
        <x:v>686</x:v>
      </x:c>
      <x:c r="F14" s="45" t="n">
        <x:v>1</x:v>
      </x:c>
      <x:c r="G14" s="62" t="b">
        <x:v>1</x:v>
      </x:c>
    </x:row>
    <x:row r="15">
      <x:c r="A15" s="37" t="str">
        <x:v>02. UTP Lima Centro Torre Arequipa</x:v>
      </x:c>
      <x:c r="B15" s="37" t="n">
        <x:v>20</x:v>
      </x:c>
      <x:c r="C15" s="37" t="n">
        <x:v>11</x:v>
      </x:c>
      <x:c r="D15" s="37" t="n">
        <x:v>78</x:v>
      </x:c>
      <x:c r="E15" s="37" t="n">
        <x:v>1380</x:v>
      </x:c>
      <x:c r="F15" s="45" t="n">
        <x:v>0.89</x:v>
      </x:c>
      <x:c r="G15" s="62" t="b">
        <x:v>1</x:v>
      </x:c>
    </x:row>
    <x:row r="16">
      <x:c r="A16" s="37" t="str">
        <x:v>15. UTP Tacna</x:v>
      </x:c>
      <x:c r="B16" s="37" t="n">
        <x:v>66</x:v>
      </x:c>
      <x:c r="C16" s="37" t="n">
        <x:v>6</x:v>
      </x:c>
      <x:c r="D16" s="37" t="n">
        <x:v>654</x:v>
      </x:c>
      <x:c r="E16" s="37" t="n">
        <x:v>2643</x:v>
      </x:c>
      <x:c r="F16" s="45" t="n">
        <x:v>0.98</x:v>
      </x:c>
      <x:c r="G16" s="62" t="b">
        <x:v>0</x:v>
      </x:c>
    </x:row>
    <x:row r="17">
      <x:c r="A17" s="37" t="str">
        <x:v>12. UTP Trujillo</x:v>
      </x:c>
      <x:c r="B17" s="37" t="n">
        <x:v>21</x:v>
      </x:c>
      <x:c r="C17" s="37" t="n">
        <x:v>8</x:v>
      </x:c>
      <x:c r="D17" s="37" t="n">
        <x:v>252</x:v>
      </x:c>
      <x:c r="E17" s="37" t="n">
        <x:v>1536</x:v>
      </x:c>
      <x:c r="F17" s="45" t="n">
        <x:v>0.97</x:v>
      </x:c>
      <x:c r="G17" s="62" t="b">
        <x:v>0</x:v>
      </x:c>
    </x:row>
    <x:row r="18">
      <x:c r="A18" s="37" t="str">
        <x:v>13. UTP Iquitos</x:v>
      </x:c>
      <x:c r="B18" s="37" t="n">
        <x:v>43</x:v>
      </x:c>
      <x:c r="C18" s="37" t="n">
        <x:v>6</x:v>
      </x:c>
      <x:c r="D18" s="37" t="n">
        <x:v>314</x:v>
      </x:c>
      <x:c r="E18" s="37" t="n">
        <x:v>2391</x:v>
      </x:c>
      <x:c r="F18" s="45" t="n">
        <x:v>0.92</x:v>
      </x:c>
      <x:c r="G18" s="62" t="b">
        <x:v>0</x:v>
      </x:c>
    </x:row>
    <x:row r="19">
      <x:c r="A19" s="37" t="str">
        <x:v>08. UTP Ica</x:v>
      </x:c>
      <x:c r="B19" s="37" t="n">
        <x:v>31</x:v>
      </x:c>
      <x:c r="C19" s="37" t="n">
        <x:v>13</x:v>
      </x:c>
      <x:c r="D19" s="37" t="n">
        <x:v>223</x:v>
      </x:c>
      <x:c r="E19" s="37" t="n">
        <x:v>3236</x:v>
      </x:c>
      <x:c r="F19" s="45" t="n">
        <x:v>0.67</x:v>
      </x:c>
      <x:c r="G19" s="62" t="b">
        <x:v>0</x:v>
      </x:c>
    </x:row>
    <x:row r="20">
      <x:c r="A20" s="38" t="str">
        <x:v>14. UTP Pucallpa</x:v>
      </x:c>
      <x:c r="B20" s="38" t="n">
        <x:v>41</x:v>
      </x:c>
      <x:c r="C20" s="38" t="n">
        <x:v>6</x:v>
      </x:c>
      <x:c r="D20" s="38" t="n">
        <x:v>2652</x:v>
      </x:c>
      <x:c r="E20" s="38" t="n">
        <x:v>2460</x:v>
      </x:c>
      <x:c r="F20" s="46" t="n">
        <x:v>0.67</x:v>
      </x:c>
      <x:c r="G20" s="63" t="b">
        <x:v>0</x:v>
      </x:c>
    </x:row>
  </x:sheetData>
  <x:conditionalFormatting sqref="F2:F20">
    <x:cfRule type="colorScale" priority="1">
      <x:colorScale>
        <x:cfvo type="min"/>
        <x:cfvo type="percentile" val="50"/>
        <x:cfvo type="max"/>
        <x:color rgb="FFFBEAEA"/>
        <x:color rgb="FFFBF0DA"/>
        <x:color rgb="FFE5F5EB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41a26fc93a8847d4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56" hidden="0" customWidth="1"/>
    <x:col min="3" max="3" width="16" hidden="0" customWidth="1"/>
    <x:col min="4" max="4" width="18" hidden="0" customWidth="1"/>
    <x:col min="5" max="5" width="20" hidden="0" customWidth="1"/>
    <x:col min="6" max="6" width="20" hidden="0" customWidth="1"/>
    <x:col min="7" max="7" width="18" hidden="0" customWidth="1"/>
    <x:col min="8" max="8" width="20" hidden="0" customWidth="1"/>
  </x:cols>
  <x:sheetData>
    <x:row r="1" ht="30" customHeight="1">
      <x:c r="A1" s="24" t="str">
        <x:v>id_proyecto</x:v>
      </x:c>
      <x:c r="B1" s="24" t="str">
        <x:v>proyecto</x:v>
      </x:c>
      <x:c r="C1" s="24" t="str">
        <x:v>estado</x:v>
      </x:c>
      <x:c r="D1" s="24" t="str">
        <x:v>avance_obra_pct</x:v>
      </x:c>
      <x:c r="E1" s="24" t="str">
        <x:v>avance_compras_pct</x:v>
      </x:c>
      <x:c r="F1" s="24" t="str">
        <x:v>fecha_objetivo_texto</x:v>
      </x:c>
      <x:c r="G1" s="24" t="str">
        <x:v>con_observaciones</x:v>
      </x:c>
      <x:c r="H1" s="24" t="str">
        <x:v>nueva_fecha_texto</x:v>
      </x:c>
    </x:row>
    <x:row r="2">
      <x:c r="A2" s="37" t="str">
        <x:v>P001</x:v>
      </x:c>
      <x:c r="B2" s="37" t="str">
        <x:v>Nuevo Edificio Campus Lima Norte (Salud) – ITSE 1/09</x:v>
      </x:c>
      <x:c r="C2" s="37" t="str">
        <x:v>En proceso</x:v>
      </x:c>
      <x:c r="D2" s="45" t="n">
        <x:v>0.93</x:v>
      </x:c>
      <x:c r="E2" s="45" t="n">
        <x:v>0.94</x:v>
      </x:c>
      <x:c r="F2" s="37" t="str">
        <x:v>SET 26</x:v>
      </x:c>
      <x:c r="G2" s="37" t="str">
        <x:v>No</x:v>
      </x:c>
      <x:c r="H2" s="37" t="str">
        <x:v>—</x:v>
      </x:c>
    </x:row>
    <x:row r="3">
      <x:c r="A3" s="37" t="str">
        <x:v>P002</x:v>
      </x:c>
      <x:c r="B3" s="37" t="str">
        <x:v>Laboratorios Salud Campus Lima Norte – Etapa I – ITSE 19/08</x:v>
      </x:c>
      <x:c r="C3" s="37" t="str">
        <x:v>En proceso</x:v>
      </x:c>
      <x:c r="D3" s="45" t="n">
        <x:v>1</x:v>
      </x:c>
      <x:c r="E3" s="45" t="n">
        <x:v>1</x:v>
      </x:c>
      <x:c r="F3" s="37" t="str">
        <x:v>SET 26</x:v>
      </x:c>
      <x:c r="G3" s="37" t="str">
        <x:v>Sí</x:v>
      </x:c>
      <x:c r="H3" s="37" t="str">
        <x:v>—</x:v>
      </x:c>
    </x:row>
    <x:row r="4">
      <x:c r="A4" s="37" t="str">
        <x:v>P003</x:v>
      </x:c>
      <x:c r="B4" s="37" t="str">
        <x:v>Laboratorios de Técnicas Dietéticas y Terapia (Iquitos – Pucallpa)</x:v>
      </x:c>
      <x:c r="C4" s="37" t="str">
        <x:v>En proceso</x:v>
      </x:c>
      <x:c r="D4" s="45" t="n">
        <x:v>0.98</x:v>
      </x:c>
      <x:c r="E4" s="45" t="n">
        <x:v>0.98</x:v>
      </x:c>
      <x:c r="F4" s="37" t="str">
        <x:v>SET 26</x:v>
      </x:c>
      <x:c r="G4" s="37" t="str">
        <x:v>No</x:v>
      </x:c>
      <x:c r="H4" s="37" t="str">
        <x:v>—</x:v>
      </x:c>
    </x:row>
    <x:row r="5">
      <x:c r="A5" s="37" t="str">
        <x:v>P004</x:v>
      </x:c>
      <x:c r="B5" s="37" t="str">
        <x:v>Nuevo Campus Huánuco – ITSE 31/08</x:v>
      </x:c>
      <x:c r="C5" s="37" t="str">
        <x:v>En proceso</x:v>
      </x:c>
      <x:c r="D5" s="45" t="n">
        <x:v>0.95</x:v>
      </x:c>
      <x:c r="E5" s="45" t="n">
        <x:v>0.98</x:v>
      </x:c>
      <x:c r="F5" s="37" t="str">
        <x:v>SET 26</x:v>
      </x:c>
      <x:c r="G5" s="37" t="str">
        <x:v>No</x:v>
      </x:c>
      <x:c r="H5" s="37" t="str">
        <x:v>—</x:v>
      </x:c>
    </x:row>
    <x:row r="6">
      <x:c r="A6" s="37" t="str">
        <x:v>P005</x:v>
      </x:c>
      <x:c r="B6" s="37" t="str">
        <x:v>Nuevo Campus Huamanga – ITSE 22/09</x:v>
      </x:c>
      <x:c r="C6" s="37" t="str">
        <x:v>En proceso</x:v>
      </x:c>
      <x:c r="D6" s="45" t="n">
        <x:v>0.9</x:v>
      </x:c>
      <x:c r="E6" s="45" t="n">
        <x:v>0.5</x:v>
      </x:c>
      <x:c r="F6" s="37" t="str">
        <x:v>SET 26</x:v>
      </x:c>
      <x:c r="G6" s="37" t="str">
        <x:v>No</x:v>
      </x:c>
      <x:c r="H6" s="37" t="str">
        <x:v>—</x:v>
      </x:c>
    </x:row>
    <x:row r="7">
      <x:c r="A7" s="37" t="str">
        <x:v>P006</x:v>
      </x:c>
      <x:c r="B7" s="37" t="str">
        <x:v>Nuevo Campus Juliaca – ITSE 18/10</x:v>
      </x:c>
      <x:c r="C7" s="37" t="str">
        <x:v>En proceso</x:v>
      </x:c>
      <x:c r="D7" s="45" t="n">
        <x:v>0.66</x:v>
      </x:c>
      <x:c r="E7" s="45" t="n">
        <x:v>0.2</x:v>
      </x:c>
      <x:c r="F7" s="37" t="str">
        <x:v>OCT 26</x:v>
      </x:c>
      <x:c r="G7" s="37" t="str">
        <x:v>No</x:v>
      </x:c>
      <x:c r="H7" s="37" t="str">
        <x:v>—</x:v>
      </x:c>
    </x:row>
    <x:row r="8">
      <x:c r="A8" s="37" t="str">
        <x:v>P007</x:v>
      </x:c>
      <x:c r="B8" s="37" t="str">
        <x:v>Nuevos Laboratorios de Hotelería y Turismo – Lima Centro</x:v>
      </x:c>
      <x:c r="C8" s="37" t="str">
        <x:v>En proceso</x:v>
      </x:c>
      <x:c r="D8" s="45" t="n">
        <x:v>0.15</x:v>
      </x:c>
      <x:c r="E8" s="45" t="n">
        <x:v>0</x:v>
      </x:c>
      <x:c r="F8" s="37" t="str">
        <x:v>ENE 27</x:v>
      </x:c>
      <x:c r="G8" s="37" t="str">
        <x:v>No</x:v>
      </x:c>
      <x:c r="H8" s="37" t="str">
        <x:v>—</x:v>
      </x:c>
    </x:row>
    <x:row r="9">
      <x:c r="A9" s="37" t="str">
        <x:v>P008</x:v>
      </x:c>
      <x:c r="B9" s="37" t="str">
        <x:v>Nuevos Laboratorios de Odontología – Lima Centro (Jarrita)</x:v>
      </x:c>
      <x:c r="C9" s="37" t="str">
        <x:v>En proceso</x:v>
      </x:c>
      <x:c r="D9" s="45" t="n">
        <x:v>0.15</x:v>
      </x:c>
      <x:c r="E9" s="45" t="n">
        <x:v>0</x:v>
      </x:c>
      <x:c r="F9" s="37" t="str">
        <x:v>MAR 27</x:v>
      </x:c>
      <x:c r="G9" s="37" t="str">
        <x:v>No</x:v>
      </x:c>
      <x:c r="H9" s="37" t="str">
        <x:v>—</x:v>
      </x:c>
    </x:row>
    <x:row r="10">
      <x:c r="A10" s="37" t="str">
        <x:v>P009</x:v>
      </x:c>
      <x:c r="B10" s="37" t="str">
        <x:v>Nuevo Campus Cusco</x:v>
      </x:c>
      <x:c r="C10" s="37" t="str">
        <x:v>Pendiente</x:v>
      </x:c>
      <x:c r="D10" s="45" t="n">
        <x:v>0</x:v>
      </x:c>
      <x:c r="E10" s="45" t="n">
        <x:v>0</x:v>
      </x:c>
      <x:c r="F10" s="37" t="str">
        <x:v>JUL 27</x:v>
      </x:c>
      <x:c r="G10" s="37" t="str">
        <x:v>No</x:v>
      </x:c>
      <x:c r="H10" s="37" t="str">
        <x:v>—</x:v>
      </x:c>
    </x:row>
    <x:row r="11">
      <x:c r="A11" s="37" t="str">
        <x:v>P010</x:v>
      </x:c>
      <x:c r="B11" s="37" t="str">
        <x:v>Ampliación Campus Huancayo</x:v>
      </x:c>
      <x:c r="C11" s="37" t="str">
        <x:v>Pendiente</x:v>
      </x:c>
      <x:c r="D11" s="45" t="n">
        <x:v>0</x:v>
      </x:c>
      <x:c r="E11" s="45" t="n">
        <x:v>0</x:v>
      </x:c>
      <x:c r="F11" s="37" t="str">
        <x:v>AGO 27</x:v>
      </x:c>
      <x:c r="G11" s="37" t="str">
        <x:v>No</x:v>
      </x:c>
      <x:c r="H11" s="37" t="str">
        <x:v>—</x:v>
      </x:c>
    </x:row>
    <x:row r="12">
      <x:c r="A12" s="37" t="str">
        <x:v>P011</x:v>
      </x:c>
      <x:c r="B12" s="37" t="str">
        <x:v>Ampliación Campus Piura</x:v>
      </x:c>
      <x:c r="C12" s="37" t="str">
        <x:v>Pendiente</x:v>
      </x:c>
      <x:c r="D12" s="45" t="n">
        <x:v>0</x:v>
      </x:c>
      <x:c r="E12" s="45" t="n">
        <x:v>0</x:v>
      </x:c>
      <x:c r="F12" s="37" t="str">
        <x:v>AGO 27</x:v>
      </x:c>
      <x:c r="G12" s="37" t="str">
        <x:v>No</x:v>
      </x:c>
      <x:c r="H12" s="37" t="str">
        <x:v>—</x:v>
      </x:c>
    </x:row>
    <x:row r="13">
      <x:c r="A13" s="37" t="str">
        <x:v>P012</x:v>
      </x:c>
      <x:c r="B13" s="37" t="str">
        <x:v>Remodelación de Saco Oliveros</x:v>
      </x:c>
      <x:c r="C13" s="37" t="str">
        <x:v>Pendiente</x:v>
      </x:c>
      <x:c r="D13" s="45" t="n">
        <x:v>0</x:v>
      </x:c>
      <x:c r="E13" s="45" t="n">
        <x:v>0</x:v>
      </x:c>
      <x:c r="F13" s="37" t="str">
        <x:v>ENE 27</x:v>
      </x:c>
      <x:c r="G13" s="37" t="str">
        <x:v>No</x:v>
      </x:c>
      <x:c r="H13" s="37" t="str">
        <x:v>—</x:v>
      </x:c>
    </x:row>
    <x:row r="14">
      <x:c r="A14" s="37" t="str">
        <x:v>P013</x:v>
      </x:c>
      <x:c r="B14" s="37" t="str">
        <x:v>Clínica Odontológica – Guzmán Blanco</x:v>
      </x:c>
      <x:c r="C14" s="37" t="str">
        <x:v>Pendiente</x:v>
      </x:c>
      <x:c r="D14" s="45" t="n">
        <x:v>0</x:v>
      </x:c>
      <x:c r="E14" s="45" t="n">
        <x:v>0</x:v>
      </x:c>
      <x:c r="F14" s="37" t="str">
        <x:v>AGO 27</x:v>
      </x:c>
      <x:c r="G14" s="37" t="str">
        <x:v>No</x:v>
      </x:c>
      <x:c r="H14" s="37" t="str">
        <x:v>—</x:v>
      </x:c>
    </x:row>
    <x:row r="15">
      <x:c r="A15" s="37" t="str">
        <x:v>P014</x:v>
      </x:c>
      <x:c r="B15" s="37" t="str">
        <x:v>Idat Campus SJL</x:v>
      </x:c>
      <x:c r="C15" s="37" t="str">
        <x:v>Pendiente</x:v>
      </x:c>
      <x:c r="D15" s="45" t="n">
        <x:v>0</x:v>
      </x:c>
      <x:c r="E15" s="45" t="n">
        <x:v>0</x:v>
      </x:c>
      <x:c r="F15" s="37" t="str">
        <x:v>MAR 27</x:v>
      </x:c>
      <x:c r="G15" s="37" t="str">
        <x:v>No</x:v>
      </x:c>
      <x:c r="H15" s="37" t="str">
        <x:v>—</x:v>
      </x:c>
    </x:row>
    <x:row r="16">
      <x:c r="A16" s="37" t="str">
        <x:v>P015</x:v>
      </x:c>
      <x:c r="B16" s="37" t="str">
        <x:v>Idat Campus SJM</x:v>
      </x:c>
      <x:c r="C16" s="37" t="str">
        <x:v>Pendiente</x:v>
      </x:c>
      <x:c r="D16" s="45" t="n">
        <x:v>0</x:v>
      </x:c>
      <x:c r="E16" s="45" t="n">
        <x:v>0</x:v>
      </x:c>
      <x:c r="F16" s="37" t="str">
        <x:v>MAR 27</x:v>
      </x:c>
      <x:c r="G16" s="37" t="str">
        <x:v>No</x:v>
      </x:c>
      <x:c r="H16" s="37" t="str">
        <x:v>—</x:v>
      </x:c>
    </x:row>
    <x:row r="17">
      <x:c r="A17" s="37" t="str">
        <x:v>P016</x:v>
      </x:c>
      <x:c r="B17" s="37" t="str">
        <x:v>Idat Chiclayo</x:v>
      </x:c>
      <x:c r="C17" s="37" t="str">
        <x:v>Pendiente</x:v>
      </x:c>
      <x:c r="D17" s="45" t="n">
        <x:v>0</x:v>
      </x:c>
      <x:c r="E17" s="45" t="n">
        <x:v>0</x:v>
      </x:c>
      <x:c r="F17" s="37" t="str">
        <x:v>MAR 27</x:v>
      </x:c>
      <x:c r="G17" s="37" t="str">
        <x:v>No</x:v>
      </x:c>
      <x:c r="H17" s="37" t="str">
        <x:v>—</x:v>
      </x:c>
    </x:row>
    <x:row r="18">
      <x:c r="A18" s="37" t="str">
        <x:v>P017</x:v>
      </x:c>
      <x:c r="B18" s="37" t="str">
        <x:v>Medicina Ica</x:v>
      </x:c>
      <x:c r="C18" s="37" t="str">
        <x:v>Pendiente</x:v>
      </x:c>
      <x:c r="D18" s="45" t="n">
        <x:v>0</x:v>
      </x:c>
      <x:c r="E18" s="45" t="n">
        <x:v>0</x:v>
      </x:c>
      <x:c r="F18" s="37" t="str">
        <x:v>MAR 27</x:v>
      </x:c>
      <x:c r="G18" s="37" t="str">
        <x:v>No</x:v>
      </x:c>
      <x:c r="H18" s="37" t="str">
        <x:v>—</x:v>
      </x:c>
    </x:row>
    <x:row r="19">
      <x:c r="A19" s="37" t="str">
        <x:v>P018</x:v>
      </x:c>
      <x:c r="B19" s="37" t="str">
        <x:v>Medicina Trujillo</x:v>
      </x:c>
      <x:c r="C19" s="37" t="str">
        <x:v>Pendiente</x:v>
      </x:c>
      <x:c r="D19" s="45" t="n">
        <x:v>0</x:v>
      </x:c>
      <x:c r="E19" s="45" t="n">
        <x:v>0</x:v>
      </x:c>
      <x:c r="F19" s="37" t="str">
        <x:v>MAR 27</x:v>
      </x:c>
      <x:c r="G19" s="37" t="str">
        <x:v>No</x:v>
      </x:c>
      <x:c r="H19" s="37" t="str">
        <x:v>—</x:v>
      </x:c>
    </x:row>
    <x:row r="20">
      <x:c r="A20" s="38" t="str">
        <x:v>P019</x:v>
      </x:c>
      <x:c r="B20" s="38" t="str">
        <x:v>Medicina Piura</x:v>
      </x:c>
      <x:c r="C20" s="38" t="str">
        <x:v>Pendiente</x:v>
      </x:c>
      <x:c r="D20" s="46" t="n">
        <x:v>0</x:v>
      </x:c>
      <x:c r="E20" s="46" t="n">
        <x:v>0</x:v>
      </x:c>
      <x:c r="F20" s="38" t="str">
        <x:v>MAR 27</x:v>
      </x:c>
      <x:c r="G20" s="38" t="str">
        <x:v>No</x:v>
      </x:c>
      <x:c r="H20" s="38" t="str">
        <x:v>—</x:v>
      </x:c>
    </x:row>
  </x:sheetData>
  <x:conditionalFormatting sqref="D2:E20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{5E4203BA-D58A-7B30-AEC1-46D1C53B98B6}</x14:id>
        </x:ext>
      </x:extLst>
    </x:cfRule>
  </x:conditionalFormatting>
  <x:dataValidations count="1">
    <x:dataValidation type="list" sqref="C2:C20">
      <x:formula1>"En proceso,Pendiente"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3d054348800442f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5E4203BA-D58A-7B30-AEC1-46D1C53B98B6}">
            <x14:dataBar gradient="1">
              <x14:cfvo type="min"/>
              <x14:cfvo type="max"/>
              <x14:fillColor rgb="FFA02B93"/>
            </x14:dataBar>
          </x14:cfRule>
          <xm:sqref>D2:E20</xm:sqref>
        </x14:conditionalFormatting>
      </x14:conditionalFormattings>
    </x:ext>
  </x:extLst>
</x:worksheet>
</file>

<file path=xl/worksheets/sheet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" hidden="0" customWidth="1"/>
    <x:col min="3" max="3" width="10" hidden="0" customWidth="1"/>
    <x:col min="4" max="4" width="10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12" hidden="0" customWidth="1"/>
  </x:cols>
  <x:sheetData>
    <x:row r="1" ht="30" customHeight="1">
      <x:c r="A1" s="24" t="str">
        <x:v>campus</x:v>
      </x:c>
      <x:c r="B1" s="24" t="str">
        <x:v>mar</x:v>
      </x:c>
      <x:c r="C1" s="24" t="str">
        <x:v>abr</x:v>
      </x:c>
      <x:c r="D1" s="24" t="str">
        <x:v>may</x:v>
      </x:c>
      <x:c r="E1" s="24" t="str">
        <x:v>jun</x:v>
      </x:c>
      <x:c r="F1" s="24" t="str">
        <x:v>ago</x:v>
      </x:c>
      <x:c r="G1" s="24" t="str">
        <x:v>set</x:v>
      </x:c>
      <x:c r="H1" s="24" t="str">
        <x:v>oct</x:v>
      </x:c>
      <x:c r="I1" s="24" t="str">
        <x:v>nov</x:v>
      </x:c>
      <x:c r="J1" s="24" t="str">
        <x:v>total</x:v>
      </x:c>
    </x:row>
    <x:row r="2">
      <x:c r="A2" s="37" t="str">
        <x:v>Corporativo - Natalio</x:v>
      </x:c>
      <x:c r="B2" s="37" t="n">
        <x:v>0</x:v>
      </x:c>
      <x:c r="C2" s="37" t="n">
        <x:v>0</x:v>
      </x:c>
      <x:c r="D2" s="37" t="n">
        <x:v>1</x:v>
      </x:c>
      <x:c r="E2" s="37" t="n">
        <x:v>0</x:v>
      </x:c>
      <x:c r="F2" s="37" t="n">
        <x:v>1</x:v>
      </x:c>
      <x:c r="G2" s="37" t="n">
        <x:v>2</x:v>
      </x:c>
      <x:c r="H2" s="37" t="n">
        <x:v>0</x:v>
      </x:c>
      <x:c r="I2" s="37" t="n">
        <x:v>0</x:v>
      </x:c>
      <x:c r="J2" s="37" t="n">
        <x:v>4</x:v>
      </x:c>
    </x:row>
    <x:row r="3">
      <x:c r="A3" s="37" t="str">
        <x:v>UTP Arequipa</x:v>
      </x:c>
      <x:c r="B3" s="37" t="n">
        <x:v>0</x:v>
      </x:c>
      <x:c r="C3" s="37" t="n">
        <x:v>0</x:v>
      </x:c>
      <x:c r="D3" s="37" t="n">
        <x:v>1</x:v>
      </x:c>
      <x:c r="E3" s="37" t="n">
        <x:v>7</x:v>
      </x:c>
      <x:c r="F3" s="37" t="n">
        <x:v>18</x:v>
      </x:c>
      <x:c r="G3" s="37" t="n">
        <x:v>11</x:v>
      </x:c>
      <x:c r="H3" s="37" t="n">
        <x:v>1</x:v>
      </x:c>
      <x:c r="I3" s="37" t="n">
        <x:v>6</x:v>
      </x:c>
      <x:c r="J3" s="37" t="n">
        <x:v>44</x:v>
      </x:c>
    </x:row>
    <x:row r="4">
      <x:c r="A4" s="37" t="str">
        <x:v>UTP Chiclayo</x:v>
      </x:c>
      <x:c r="B4" s="37" t="n">
        <x:v>3</x:v>
      </x:c>
      <x:c r="C4" s="37" t="n">
        <x:v>0</x:v>
      </x:c>
      <x:c r="D4" s="37" t="n">
        <x:v>1</x:v>
      </x:c>
      <x:c r="E4" s="37" t="n">
        <x:v>2</x:v>
      </x:c>
      <x:c r="F4" s="37" t="n">
        <x:v>10</x:v>
      </x:c>
      <x:c r="G4" s="37" t="n">
        <x:v>1</x:v>
      </x:c>
      <x:c r="H4" s="37" t="n">
        <x:v>0</x:v>
      </x:c>
      <x:c r="I4" s="37" t="n">
        <x:v>2</x:v>
      </x:c>
      <x:c r="J4" s="37" t="n">
        <x:v>19</x:v>
      </x:c>
    </x:row>
    <x:row r="5">
      <x:c r="A5" s="37" t="str">
        <x:v>UTP Chimbote</x:v>
      </x:c>
      <x:c r="B5" s="37" t="n">
        <x:v>1</x:v>
      </x:c>
      <x:c r="C5" s="37" t="n">
        <x:v>0</x:v>
      </x:c>
      <x:c r="D5" s="37" t="n">
        <x:v>1</x:v>
      </x:c>
      <x:c r="E5" s="37" t="n">
        <x:v>3</x:v>
      </x:c>
      <x:c r="F5" s="37" t="n">
        <x:v>4</x:v>
      </x:c>
      <x:c r="G5" s="37" t="n">
        <x:v>3</x:v>
      </x:c>
      <x:c r="H5" s="37" t="n">
        <x:v>0</x:v>
      </x:c>
      <x:c r="I5" s="37" t="n">
        <x:v>0</x:v>
      </x:c>
      <x:c r="J5" s="37" t="n">
        <x:v>12</x:v>
      </x:c>
    </x:row>
    <x:row r="6">
      <x:c r="A6" s="37" t="str">
        <x:v>UTP Huancayo</x:v>
      </x:c>
      <x:c r="B6" s="37" t="n">
        <x:v>3</x:v>
      </x:c>
      <x:c r="C6" s="37" t="n">
        <x:v>0</x:v>
      </x:c>
      <x:c r="D6" s="37" t="n">
        <x:v>1</x:v>
      </x:c>
      <x:c r="E6" s="37" t="n">
        <x:v>3</x:v>
      </x:c>
      <x:c r="F6" s="37" t="n">
        <x:v>5</x:v>
      </x:c>
      <x:c r="G6" s="37" t="n">
        <x:v>1</x:v>
      </x:c>
      <x:c r="H6" s="37" t="n">
        <x:v>1</x:v>
      </x:c>
      <x:c r="I6" s="37" t="n">
        <x:v>1</x:v>
      </x:c>
      <x:c r="J6" s="37" t="n">
        <x:v>15</x:v>
      </x:c>
    </x:row>
    <x:row r="7">
      <x:c r="A7" s="37" t="str">
        <x:v>UTP Ica</x:v>
      </x:c>
      <x:c r="B7" s="37" t="n">
        <x:v>0</x:v>
      </x:c>
      <x:c r="C7" s="37" t="n">
        <x:v>0</x:v>
      </x:c>
      <x:c r="D7" s="37" t="n">
        <x:v>2</x:v>
      </x:c>
      <x:c r="E7" s="37" t="n">
        <x:v>2</x:v>
      </x:c>
      <x:c r="F7" s="37" t="n">
        <x:v>7</x:v>
      </x:c>
      <x:c r="G7" s="37" t="n">
        <x:v>1</x:v>
      </x:c>
      <x:c r="H7" s="37" t="n">
        <x:v>0</x:v>
      </x:c>
      <x:c r="I7" s="37" t="n">
        <x:v>1</x:v>
      </x:c>
      <x:c r="J7" s="37" t="n">
        <x:v>13</x:v>
      </x:c>
    </x:row>
    <x:row r="8">
      <x:c r="A8" s="37" t="str">
        <x:v>UTP Iquitos</x:v>
      </x:c>
      <x:c r="B8" s="37" t="n">
        <x:v>0</x:v>
      </x:c>
      <x:c r="C8" s="37" t="n">
        <x:v>0</x:v>
      </x:c>
      <x:c r="D8" s="37" t="n">
        <x:v>0</x:v>
      </x:c>
      <x:c r="E8" s="37" t="n">
        <x:v>0</x:v>
      </x:c>
      <x:c r="F8" s="37" t="n">
        <x:v>1</x:v>
      </x:c>
      <x:c r="G8" s="37" t="n">
        <x:v>1</x:v>
      </x:c>
      <x:c r="H8" s="37" t="n">
        <x:v>2</x:v>
      </x:c>
      <x:c r="I8" s="37" t="n">
        <x:v>0</x:v>
      </x:c>
      <x:c r="J8" s="37" t="n">
        <x:v>4</x:v>
      </x:c>
    </x:row>
    <x:row r="9">
      <x:c r="A9" s="37" t="str">
        <x:v>UTP Lima Centro</x:v>
      </x:c>
      <x:c r="B9" s="37" t="n">
        <x:v>7</x:v>
      </x:c>
      <x:c r="C9" s="37" t="n">
        <x:v>1</x:v>
      </x:c>
      <x:c r="D9" s="37" t="n">
        <x:v>6</x:v>
      </x:c>
      <x:c r="E9" s="37" t="n">
        <x:v>5</x:v>
      </x:c>
      <x:c r="F9" s="37" t="n">
        <x:v>26</x:v>
      </x:c>
      <x:c r="G9" s="37" t="n">
        <x:v>10</x:v>
      </x:c>
      <x:c r="H9" s="37" t="n">
        <x:v>3</x:v>
      </x:c>
      <x:c r="I9" s="37" t="n">
        <x:v>7</x:v>
      </x:c>
      <x:c r="J9" s="37" t="n">
        <x:v>65</x:v>
      </x:c>
    </x:row>
    <x:row r="10">
      <x:c r="A10" s="37" t="str">
        <x:v>UTP Lima Este</x:v>
      </x:c>
      <x:c r="B10" s="37" t="n">
        <x:v>3</x:v>
      </x:c>
      <x:c r="C10" s="37" t="n">
        <x:v>0</x:v>
      </x:c>
      <x:c r="D10" s="37" t="n">
        <x:v>0</x:v>
      </x:c>
      <x:c r="E10" s="37" t="n">
        <x:v>1</x:v>
      </x:c>
      <x:c r="F10" s="37" t="n">
        <x:v>7</x:v>
      </x:c>
      <x:c r="G10" s="37" t="n">
        <x:v>2</x:v>
      </x:c>
      <x:c r="H10" s="37" t="n">
        <x:v>0</x:v>
      </x:c>
      <x:c r="I10" s="37" t="n">
        <x:v>0</x:v>
      </x:c>
      <x:c r="J10" s="37" t="n">
        <x:v>13</x:v>
      </x:c>
    </x:row>
    <x:row r="11">
      <x:c r="A11" s="37" t="str">
        <x:v>UTP Lima Norte</x:v>
      </x:c>
      <x:c r="B11" s="37" t="n">
        <x:v>2</x:v>
      </x:c>
      <x:c r="C11" s="37" t="n">
        <x:v>0</x:v>
      </x:c>
      <x:c r="D11" s="37" t="n">
        <x:v>0</x:v>
      </x:c>
      <x:c r="E11" s="37" t="n">
        <x:v>1</x:v>
      </x:c>
      <x:c r="F11" s="37" t="n">
        <x:v>6</x:v>
      </x:c>
      <x:c r="G11" s="37" t="n">
        <x:v>3</x:v>
      </x:c>
      <x:c r="H11" s="37" t="n">
        <x:v>0</x:v>
      </x:c>
      <x:c r="I11" s="37" t="n">
        <x:v>2</x:v>
      </x:c>
      <x:c r="J11" s="37" t="n">
        <x:v>14</x:v>
      </x:c>
    </x:row>
    <x:row r="12">
      <x:c r="A12" s="37" t="str">
        <x:v>UTP Lima Sur</x:v>
      </x:c>
      <x:c r="B12" s="37" t="n">
        <x:v>5</x:v>
      </x:c>
      <x:c r="C12" s="37" t="n">
        <x:v>1</x:v>
      </x:c>
      <x:c r="D12" s="37" t="n">
        <x:v>0</x:v>
      </x:c>
      <x:c r="E12" s="37" t="n">
        <x:v>1</x:v>
      </x:c>
      <x:c r="F12" s="37" t="n">
        <x:v>4</x:v>
      </x:c>
      <x:c r="G12" s="37" t="n">
        <x:v>2</x:v>
      </x:c>
      <x:c r="H12" s="37" t="n">
        <x:v>0</x:v>
      </x:c>
      <x:c r="I12" s="37" t="n">
        <x:v>1</x:v>
      </x:c>
      <x:c r="J12" s="37" t="n">
        <x:v>14</x:v>
      </x:c>
    </x:row>
    <x:row r="13">
      <x:c r="A13" s="37" t="str">
        <x:v>UTP Piura</x:v>
      </x:c>
      <x:c r="B13" s="37" t="n">
        <x:v>2</x:v>
      </x:c>
      <x:c r="C13" s="37" t="n">
        <x:v>0</x:v>
      </x:c>
      <x:c r="D13" s="37" t="n">
        <x:v>2</x:v>
      </x:c>
      <x:c r="E13" s="37" t="n">
        <x:v>1</x:v>
      </x:c>
      <x:c r="F13" s="37" t="n">
        <x:v>7</x:v>
      </x:c>
      <x:c r="G13" s="37" t="n">
        <x:v>2</x:v>
      </x:c>
      <x:c r="H13" s="37" t="n">
        <x:v>0</x:v>
      </x:c>
      <x:c r="I13" s="37" t="n">
        <x:v>1</x:v>
      </x:c>
      <x:c r="J13" s="37" t="n">
        <x:v>15</x:v>
      </x:c>
    </x:row>
    <x:row r="14">
      <x:c r="A14" s="37" t="str">
        <x:v>UTP Pucallpa</x:v>
      </x:c>
      <x:c r="B14" s="37" t="n">
        <x:v>0</x:v>
      </x:c>
      <x:c r="C14" s="37" t="n">
        <x:v>0</x:v>
      </x:c>
      <x:c r="D14" s="37" t="n">
        <x:v>1</x:v>
      </x:c>
      <x:c r="E14" s="37" t="n">
        <x:v>0</x:v>
      </x:c>
      <x:c r="F14" s="37" t="n">
        <x:v>1</x:v>
      </x:c>
      <x:c r="G14" s="37" t="n">
        <x:v>2</x:v>
      </x:c>
      <x:c r="H14" s="37" t="n">
        <x:v>0</x:v>
      </x:c>
      <x:c r="I14" s="37" t="n">
        <x:v>0</x:v>
      </x:c>
      <x:c r="J14" s="37" t="n">
        <x:v>4</x:v>
      </x:c>
    </x:row>
    <x:row r="15">
      <x:c r="A15" s="37" t="str">
        <x:v>UTP SJL</x:v>
      </x:c>
      <x:c r="B15" s="37" t="n">
        <x:v>1</x:v>
      </x:c>
      <x:c r="C15" s="37" t="n">
        <x:v>0</x:v>
      </x:c>
      <x:c r="D15" s="37" t="n">
        <x:v>1</x:v>
      </x:c>
      <x:c r="E15" s="37" t="n">
        <x:v>1</x:v>
      </x:c>
      <x:c r="F15" s="37" t="n">
        <x:v>7</x:v>
      </x:c>
      <x:c r="G15" s="37" t="n">
        <x:v>2</x:v>
      </x:c>
      <x:c r="H15" s="37" t="n">
        <x:v>0</x:v>
      </x:c>
      <x:c r="I15" s="37" t="n">
        <x:v>1</x:v>
      </x:c>
      <x:c r="J15" s="37" t="n">
        <x:v>13</x:v>
      </x:c>
    </x:row>
    <x:row r="16">
      <x:c r="A16" s="37" t="str">
        <x:v>UTP Tacna</x:v>
      </x:c>
      <x:c r="B16" s="37" t="n">
        <x:v>0</x:v>
      </x:c>
      <x:c r="C16" s="37" t="n">
        <x:v>0</x:v>
      </x:c>
      <x:c r="D16" s="37" t="n">
        <x:v>1</x:v>
      </x:c>
      <x:c r="E16" s="37" t="n">
        <x:v>0</x:v>
      </x:c>
      <x:c r="F16" s="37" t="n">
        <x:v>1</x:v>
      </x:c>
      <x:c r="G16" s="37" t="n">
        <x:v>2</x:v>
      </x:c>
      <x:c r="H16" s="37" t="n">
        <x:v>0</x:v>
      </x:c>
      <x:c r="I16" s="37" t="n">
        <x:v>0</x:v>
      </x:c>
      <x:c r="J16" s="37" t="n">
        <x:v>4</x:v>
      </x:c>
    </x:row>
    <x:row r="17">
      <x:c r="A17" s="37" t="str">
        <x:v>UTP Trujillo</x:v>
      </x:c>
      <x:c r="B17" s="37" t="n">
        <x:v>1</x:v>
      </x:c>
      <x:c r="C17" s="37" t="n">
        <x:v>0</x:v>
      </x:c>
      <x:c r="D17" s="37" t="n">
        <x:v>1</x:v>
      </x:c>
      <x:c r="E17" s="37" t="n">
        <x:v>2</x:v>
      </x:c>
      <x:c r="F17" s="37" t="n">
        <x:v>5</x:v>
      </x:c>
      <x:c r="G17" s="37" t="n">
        <x:v>2</x:v>
      </x:c>
      <x:c r="H17" s="37" t="n">
        <x:v>1</x:v>
      </x:c>
      <x:c r="I17" s="37" t="n">
        <x:v>1</x:v>
      </x:c>
      <x:c r="J17" s="37" t="n">
        <x:v>13</x:v>
      </x:c>
    </x:row>
    <x:row r="18">
      <x:c r="A18" s="38" t="str">
        <x:v>UTP EPG Salaverry</x:v>
      </x:c>
      <x:c r="B18" s="38" t="n">
        <x:v>0</x:v>
      </x:c>
      <x:c r="C18" s="38" t="n">
        <x:v>0</x:v>
      </x:c>
      <x:c r="D18" s="38" t="n">
        <x:v>0</x:v>
      </x:c>
      <x:c r="E18" s="38" t="n">
        <x:v>0</x:v>
      </x:c>
      <x:c r="F18" s="38" t="n">
        <x:v>0</x:v>
      </x:c>
      <x:c r="G18" s="38" t="n">
        <x:v>1</x:v>
      </x:c>
      <x:c r="H18" s="38" t="n">
        <x:v>0</x:v>
      </x:c>
      <x:c r="I18" s="38" t="n">
        <x:v>0</x:v>
      </x:c>
      <x:c r="J18" s="38" t="n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ba6412e0341d4fbd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4" hidden="0" customWidth="1"/>
    <x:col min="3" max="3" width="16" hidden="0" customWidth="1"/>
  </x:cols>
  <x:sheetData>
    <x:row r="1" ht="30" customHeight="1">
      <x:c r="A1" s="24" t="str">
        <x:v>estado</x:v>
      </x:c>
      <x:c r="B1" s="24" t="str">
        <x:v>cantidad</x:v>
      </x:c>
      <x:c r="C1" s="24" t="str">
        <x:v>participacion</x:v>
      </x:c>
    </x:row>
    <x:row r="2">
      <x:c r="A2" s="37" t="str">
        <x:v>Ejecutado</x:v>
      </x:c>
      <x:c r="B2" s="37" t="n">
        <x:v>80</x:v>
      </x:c>
      <x:c r="C2" s="45" t="n">
        <x:v>0.27</x:v>
      </x:c>
    </x:row>
    <x:row r="3">
      <x:c r="A3" s="37" t="str">
        <x:v>En proceso</x:v>
      </x:c>
      <x:c r="B3" s="37" t="n">
        <x:v>111</x:v>
      </x:c>
      <x:c r="C3" s="45" t="n">
        <x:v>0.38</x:v>
      </x:c>
    </x:row>
    <x:row r="4">
      <x:c r="A4" s="37" t="str">
        <x:v>Pendiente</x:v>
      </x:c>
      <x:c r="B4" s="37" t="n">
        <x:v>76</x:v>
      </x:c>
      <x:c r="C4" s="45" t="n">
        <x:v>0.26</x:v>
      </x:c>
    </x:row>
    <x:row r="5">
      <x:c r="A5" s="38" t="str">
        <x:v>Cancelado</x:v>
      </x:c>
      <x:c r="B5" s="38" t="n">
        <x:v>27</x:v>
      </x:c>
      <x:c r="C5" s="46" t="n">
        <x:v>0.09</x:v>
      </x:c>
    </x:row>
  </x:sheetData>
  <x:conditionalFormatting sqref="C2:C5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{68508D36-8994-4359-364F-9128F490CEBA}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58d624a3dfd04211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68508D36-8994-4359-364F-9128F490CEBA}">
            <x14:dataBar gradient="1">
              <x14:cfvo type="min"/>
              <x14:cfvo type="max"/>
              <x14:fillColor rgb="FFA02B93"/>
            </x14:dataBar>
          </x14:cfRule>
          <xm:sqref>C2:C5</xm:sqref>
        </x14:conditionalFormatting>
      </x14:conditionalFormattings>
    </x:ext>
  </x:extLst>
</x:worksheet>
</file>

<file path=xl/worksheets/sheet11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42" hidden="0" customWidth="1"/>
    <x:col min="3" max="3" width="16" hidden="0" customWidth="1"/>
    <x:col min="4" max="4" width="16" hidden="0" customWidth="1"/>
    <x:col min="5" max="5" width="14" hidden="0" customWidth="1"/>
    <x:col min="6" max="6" width="20" hidden="0" customWidth="1"/>
    <x:col min="7" max="7" width="18" hidden="0" customWidth="1"/>
    <x:col min="8" max="8" width="20" hidden="0" customWidth="1"/>
  </x:cols>
  <x:sheetData>
    <x:row r="1" ht="30" customHeight="1">
      <x:c r="A1" s="24" t="str">
        <x:v>id_registro</x:v>
      </x:c>
      <x:c r="B1" s="24" t="str">
        <x:v>campus</x:v>
      </x:c>
      <x:c r="C1" s="24" t="str">
        <x:v>diseno_pct</x:v>
      </x:c>
      <x:c r="D1" s="24" t="str">
        <x:v>obra_pct</x:v>
      </x:c>
      <x:c r="E1" s="24" t="str">
        <x:v>operacion</x:v>
      </x:c>
      <x:c r="F1" s="24" t="str">
        <x:v>fecha_objetivo_texto</x:v>
      </x:c>
      <x:c r="G1" s="24" t="str">
        <x:v>con_observacion</x:v>
      </x:c>
      <x:c r="H1" s="24" t="str">
        <x:v>nueva_fecha_texto</x:v>
      </x:c>
    </x:row>
    <x:row r="2">
      <x:c r="A2" s="37" t="str">
        <x:v>L001</x:v>
      </x:c>
      <x:c r="B2" s="37" t="str">
        <x:v>LC – Torre Tecnológica Arequipa (I)</x:v>
      </x:c>
      <x:c r="C2" s="45" t="n">
        <x:v>1</x:v>
      </x:c>
      <x:c r="D2" s="45" t="n">
        <x:v>1</x:v>
      </x:c>
      <x:c r="E2" s="37" t="str">
        <x:v>Sí</x:v>
      </x:c>
      <x:c r="F2" s="37" t="str">
        <x:v>Mar-26</x:v>
      </x:c>
      <x:c r="G2" s="37" t="str">
        <x:v>No</x:v>
      </x:c>
      <x:c r="H2" s="37" t="str">
        <x:v>—</x:v>
      </x:c>
    </x:row>
    <x:row r="3">
      <x:c r="A3" s="37" t="str">
        <x:v>L002</x:v>
      </x:c>
      <x:c r="B3" s="37" t="str">
        <x:v>LC – Sede Central (I)</x:v>
      </x:c>
      <x:c r="C3" s="45" t="n">
        <x:v>1</x:v>
      </x:c>
      <x:c r="D3" s="45" t="n">
        <x:v>1</x:v>
      </x:c>
      <x:c r="E3" s="37" t="str">
        <x:v>Sí</x:v>
      </x:c>
      <x:c r="F3" s="37" t="str">
        <x:v>Mar-26</x:v>
      </x:c>
      <x:c r="G3" s="37" t="str">
        <x:v>Sí</x:v>
      </x:c>
      <x:c r="H3" s="37" t="str">
        <x:v>6/04/2026</x:v>
      </x:c>
    </x:row>
    <x:row r="4">
      <x:c r="A4" s="37" t="str">
        <x:v>L003</x:v>
      </x:c>
      <x:c r="B4" s="37" t="str">
        <x:v>LC – Torre II (I)</x:v>
      </x:c>
      <x:c r="C4" s="45" t="n">
        <x:v>1</x:v>
      </x:c>
      <x:c r="D4" s="45" t="n">
        <x:v>1</x:v>
      </x:c>
      <x:c r="E4" s="37" t="str">
        <x:v>Sí</x:v>
      </x:c>
      <x:c r="F4" s="37" t="str">
        <x:v>Mar-26</x:v>
      </x:c>
      <x:c r="G4" s="37" t="str">
        <x:v>No</x:v>
      </x:c>
      <x:c r="H4" s="37" t="str">
        <x:v>—</x:v>
      </x:c>
    </x:row>
    <x:row r="5">
      <x:c r="A5" s="37" t="str">
        <x:v>L004</x:v>
      </x:c>
      <x:c r="B5" s="37" t="str">
        <x:v>LS – Piso 1 (I)</x:v>
      </x:c>
      <x:c r="C5" s="45" t="n">
        <x:v>1</x:v>
      </x:c>
      <x:c r="D5" s="45" t="n">
        <x:v>1</x:v>
      </x:c>
      <x:c r="E5" s="37" t="str">
        <x:v>Sí</x:v>
      </x:c>
      <x:c r="F5" s="37" t="str">
        <x:v>Mar-26</x:v>
      </x:c>
      <x:c r="G5" s="37" t="str">
        <x:v>No</x:v>
      </x:c>
      <x:c r="H5" s="37" t="str">
        <x:v>—</x:v>
      </x:c>
    </x:row>
    <x:row r="6">
      <x:c r="A6" s="37" t="str">
        <x:v>L005</x:v>
      </x:c>
      <x:c r="B6" s="37" t="str">
        <x:v>LS – Piso 10 (I)</x:v>
      </x:c>
      <x:c r="C6" s="45" t="n">
        <x:v>1</x:v>
      </x:c>
      <x:c r="D6" s="45" t="n">
        <x:v>1</x:v>
      </x:c>
      <x:c r="E6" s="37" t="str">
        <x:v>Sí</x:v>
      </x:c>
      <x:c r="F6" s="37" t="str">
        <x:v>Mar-26</x:v>
      </x:c>
      <x:c r="G6" s="37" t="str">
        <x:v>No</x:v>
      </x:c>
      <x:c r="H6" s="37" t="str">
        <x:v>—</x:v>
      </x:c>
    </x:row>
    <x:row r="7">
      <x:c r="A7" s="37" t="str">
        <x:v>L006</x:v>
      </x:c>
      <x:c r="B7" s="37" t="str">
        <x:v>Ica (I)</x:v>
      </x:c>
      <x:c r="C7" s="45" t="n">
        <x:v>1</x:v>
      </x:c>
      <x:c r="D7" s="45" t="n">
        <x:v>1</x:v>
      </x:c>
      <x:c r="E7" s="37" t="str">
        <x:v>Sí</x:v>
      </x:c>
      <x:c r="F7" s="37" t="str">
        <x:v>Mar-26</x:v>
      </x:c>
      <x:c r="G7" s="37" t="str">
        <x:v>No</x:v>
      </x:c>
      <x:c r="H7" s="37" t="str">
        <x:v>—</x:v>
      </x:c>
    </x:row>
    <x:row r="8">
      <x:c r="A8" s="37" t="str">
        <x:v>L007</x:v>
      </x:c>
      <x:c r="B8" s="37" t="str">
        <x:v>Arequipa – Tacna y Arica (I)</x:v>
      </x:c>
      <x:c r="C8" s="45" t="n">
        <x:v>1</x:v>
      </x:c>
      <x:c r="D8" s="45" t="n">
        <x:v>1</x:v>
      </x:c>
      <x:c r="E8" s="37" t="str">
        <x:v>Sí</x:v>
      </x:c>
      <x:c r="F8" s="37" t="str">
        <x:v>Mar-26</x:v>
      </x:c>
      <x:c r="G8" s="37" t="str">
        <x:v>No</x:v>
      </x:c>
      <x:c r="H8" s="37" t="str">
        <x:v>—</x:v>
      </x:c>
    </x:row>
    <x:row r="9">
      <x:c r="A9" s="37" t="str">
        <x:v>L008</x:v>
      </x:c>
      <x:c r="B9" s="37" t="str">
        <x:v>LC – Pacífico (II)</x:v>
      </x:c>
      <x:c r="C9" s="45" t="n">
        <x:v>1</x:v>
      </x:c>
      <x:c r="D9" s="45" t="n">
        <x:v>1</x:v>
      </x:c>
      <x:c r="E9" s="37" t="str">
        <x:v>Sí</x:v>
      </x:c>
      <x:c r="F9" s="37" t="str">
        <x:v>Mar-26</x:v>
      </x:c>
      <x:c r="G9" s="37" t="str">
        <x:v>Sí</x:v>
      </x:c>
      <x:c r="H9" s="37" t="str">
        <x:v>13/04/2026</x:v>
      </x:c>
    </x:row>
    <x:row r="10">
      <x:c r="A10" s="37" t="str">
        <x:v>L009</x:v>
      </x:c>
      <x:c r="B10" s="37" t="str">
        <x:v>SJL (II)</x:v>
      </x:c>
      <x:c r="C10" s="45" t="n">
        <x:v>1</x:v>
      </x:c>
      <x:c r="D10" s="45" t="n">
        <x:v>1</x:v>
      </x:c>
      <x:c r="E10" s="37" t="str">
        <x:v>Sí</x:v>
      </x:c>
      <x:c r="F10" s="37" t="str">
        <x:v>Mar-26</x:v>
      </x:c>
      <x:c r="G10" s="37" t="str">
        <x:v>Sí</x:v>
      </x:c>
      <x:c r="H10" s="37" t="str">
        <x:v>30/03/2026</x:v>
      </x:c>
    </x:row>
    <x:row r="11">
      <x:c r="A11" s="37" t="str">
        <x:v>L010</x:v>
      </x:c>
      <x:c r="B11" s="37" t="str">
        <x:v>Arequipa – Parra 2 (II)</x:v>
      </x:c>
      <x:c r="C11" s="45" t="n">
        <x:v>1</x:v>
      </x:c>
      <x:c r="D11" s="45" t="n">
        <x:v>1</x:v>
      </x:c>
      <x:c r="E11" s="37" t="str">
        <x:v>Sí</x:v>
      </x:c>
      <x:c r="F11" s="37" t="str">
        <x:v>Mar-26</x:v>
      </x:c>
      <x:c r="G11" s="37" t="str">
        <x:v>Sí</x:v>
      </x:c>
      <x:c r="H11" s="37" t="str">
        <x:v>30/03/2026</x:v>
      </x:c>
    </x:row>
    <x:row r="12">
      <x:c r="A12" s="37" t="str">
        <x:v>L011</x:v>
      </x:c>
      <x:c r="B12" s="37" t="str">
        <x:v>Trujillo (III)</x:v>
      </x:c>
      <x:c r="C12" s="45" t="n">
        <x:v>1</x:v>
      </x:c>
      <x:c r="D12" s="45" t="n">
        <x:v>1</x:v>
      </x:c>
      <x:c r="E12" s="37" t="str">
        <x:v>Sí</x:v>
      </x:c>
      <x:c r="F12" s="37" t="str">
        <x:v>15/06</x:v>
      </x:c>
      <x:c r="G12" s="37" t="str">
        <x:v>No</x:v>
      </x:c>
      <x:c r="H12" s="37" t="str">
        <x:v>—</x:v>
      </x:c>
    </x:row>
    <x:row r="13">
      <x:c r="A13" s="37" t="str">
        <x:v>L012</x:v>
      </x:c>
      <x:c r="B13" s="37" t="str">
        <x:v>Arequipa - Parra 1 (III)</x:v>
      </x:c>
      <x:c r="C13" s="45" t="n">
        <x:v>1</x:v>
      </x:c>
      <x:c r="D13" s="45" t="n">
        <x:v>0</x:v>
      </x:c>
      <x:c r="E13" s="37" t="str">
        <x:v>—</x:v>
      </x:c>
      <x:c r="F13" s="37" t="str">
        <x:v>—</x:v>
      </x:c>
      <x:c r="G13" s="37" t="str">
        <x:v>—</x:v>
      </x:c>
      <x:c r="H13" s="37" t="str">
        <x:v>—</x:v>
      </x:c>
    </x:row>
    <x:row r="14">
      <x:c r="A14" s="37" t="str">
        <x:v>L013</x:v>
      </x:c>
      <x:c r="B14" s="37" t="str">
        <x:v>Lima Norte (III)</x:v>
      </x:c>
      <x:c r="C14" s="45" t="n">
        <x:v>1</x:v>
      </x:c>
      <x:c r="D14" s="45" t="n">
        <x:v>0</x:v>
      </x:c>
      <x:c r="E14" s="37" t="str">
        <x:v>—</x:v>
      </x:c>
      <x:c r="F14" s="37" t="str">
        <x:v>Oct-26</x:v>
      </x:c>
      <x:c r="G14" s="37" t="str">
        <x:v>—</x:v>
      </x:c>
      <x:c r="H14" s="37" t="str">
        <x:v>—</x:v>
      </x:c>
    </x:row>
    <x:row r="15">
      <x:c r="A15" s="37" t="str">
        <x:v>L014</x:v>
      </x:c>
      <x:c r="B15" s="37" t="str">
        <x:v>Chiclayo (III)</x:v>
      </x:c>
      <x:c r="C15" s="45" t="n">
        <x:v>1</x:v>
      </x:c>
      <x:c r="D15" s="45" t="n">
        <x:v>0</x:v>
      </x:c>
      <x:c r="E15" s="37" t="str">
        <x:v>—</x:v>
      </x:c>
      <x:c r="F15" s="37" t="str">
        <x:v>Set-26</x:v>
      </x:c>
      <x:c r="G15" s="37" t="str">
        <x:v>—</x:v>
      </x:c>
      <x:c r="H15" s="37" t="str">
        <x:v>—</x:v>
      </x:c>
    </x:row>
    <x:row r="16">
      <x:c r="A16" s="37" t="str">
        <x:v>L015</x:v>
      </x:c>
      <x:c r="B16" s="37" t="str">
        <x:v>ATE (III)</x:v>
      </x:c>
      <x:c r="C16" s="45" t="n">
        <x:v>1</x:v>
      </x:c>
      <x:c r="D16" s="45" t="n">
        <x:v>0</x:v>
      </x:c>
      <x:c r="E16" s="37" t="str">
        <x:v>—</x:v>
      </x:c>
      <x:c r="F16" s="37" t="str">
        <x:v>Set-26</x:v>
      </x:c>
      <x:c r="G16" s="37" t="str">
        <x:v>—</x:v>
      </x:c>
      <x:c r="H16" s="37" t="str">
        <x:v>—</x:v>
      </x:c>
    </x:row>
    <x:row r="17">
      <x:c r="A17" s="37" t="str">
        <x:v>L016</x:v>
      </x:c>
      <x:c r="B17" s="37" t="str">
        <x:v>Pucallpa (III)</x:v>
      </x:c>
      <x:c r="C17" s="45" t="n">
        <x:v>0</x:v>
      </x:c>
      <x:c r="D17" s="45" t="n">
        <x:v>0</x:v>
      </x:c>
      <x:c r="E17" s="37" t="str">
        <x:v>—</x:v>
      </x:c>
      <x:c r="F17" s="37" t="str">
        <x:v>Oct-26</x:v>
      </x:c>
      <x:c r="G17" s="37" t="str">
        <x:v>—</x:v>
      </x:c>
      <x:c r="H17" s="37" t="str">
        <x:v>—</x:v>
      </x:c>
    </x:row>
    <x:row r="18">
      <x:c r="A18" s="37" t="str">
        <x:v>L017</x:v>
      </x:c>
      <x:c r="B18" s="37" t="str">
        <x:v>Iquitos (III)</x:v>
      </x:c>
      <x:c r="C18" s="45" t="n">
        <x:v>0</x:v>
      </x:c>
      <x:c r="D18" s="45" t="n">
        <x:v>0</x:v>
      </x:c>
      <x:c r="E18" s="37" t="str">
        <x:v>—</x:v>
      </x:c>
      <x:c r="F18" s="37" t="str">
        <x:v>Oct-26</x:v>
      </x:c>
      <x:c r="G18" s="37" t="str">
        <x:v>—</x:v>
      </x:c>
      <x:c r="H18" s="37" t="str">
        <x:v>—</x:v>
      </x:c>
    </x:row>
    <x:row r="19">
      <x:c r="A19" s="37" t="str">
        <x:v>L018</x:v>
      </x:c>
      <x:c r="B19" s="37" t="str">
        <x:v>Chimbote (III)</x:v>
      </x:c>
      <x:c r="C19" s="45" t="n">
        <x:v>0</x:v>
      </x:c>
      <x:c r="D19" s="45" t="n">
        <x:v>0</x:v>
      </x:c>
      <x:c r="E19" s="37" t="str">
        <x:v>—</x:v>
      </x:c>
      <x:c r="F19" s="37" t="str">
        <x:v>Nov-26</x:v>
      </x:c>
      <x:c r="G19" s="37" t="str">
        <x:v>—</x:v>
      </x:c>
      <x:c r="H19" s="37" t="str">
        <x:v>—</x:v>
      </x:c>
    </x:row>
    <x:row r="20">
      <x:c r="A20" s="38" t="str">
        <x:v>L019</x:v>
      </x:c>
      <x:c r="B20" s="38" t="str">
        <x:v>Resto de campus (III)</x:v>
      </x:c>
      <x:c r="C20" s="46" t="n">
        <x:v>0</x:v>
      </x:c>
      <x:c r="D20" s="46" t="n">
        <x:v>0</x:v>
      </x:c>
      <x:c r="E20" s="38" t="str">
        <x:v>—</x:v>
      </x:c>
      <x:c r="F20" s="38" t="str">
        <x:v>—</x:v>
      </x:c>
      <x:c r="G20" s="38" t="str">
        <x:v>—</x:v>
      </x:c>
      <x:c r="H20" s="38" t="str">
        <x:v>—</x:v>
      </x:c>
    </x:row>
  </x:sheetData>
  <x:conditionalFormatting sqref="C2:D20">
    <x:cfRule type="dataBar" priority="1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{0032895B-8277-AA1B-925D-F49B0FBB1FDA}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5370be67c7064196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0032895B-8277-AA1B-925D-F49B0FBB1FDA}">
            <x14:dataBar gradient="1">
              <x14:cfvo type="min"/>
              <x14:cfvo type="max"/>
              <x14:fillColor rgb="FFA02B93"/>
            </x14:dataBar>
          </x14:cfRule>
          <xm:sqref>C2:D20</xm:sqref>
        </x14:conditionalFormatting>
      </x14:conditionalFormattings>
    </x:ext>
  </x:extLst>
</x:worksheet>
</file>

<file path=xl/worksheets/sheet1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6" hidden="0" customWidth="1"/>
    <x:col min="3" max="3" width="44" hidden="0" customWidth="1"/>
  </x:cols>
  <x:sheetData>
    <x:row r="1" ht="30" customHeight="1">
      <x:c r="A1" s="24" t="str">
        <x:v>id_origen</x:v>
      </x:c>
      <x:c r="B1" s="24" t="str">
        <x:v>modulo</x:v>
      </x:c>
      <x:c r="C1" s="24" t="str">
        <x:v>nombre_sede_origen</x:v>
      </x:c>
    </x:row>
    <x:row r="2">
      <x:c r="A2" s="37" t="str">
        <x:v>SRC001</x:v>
      </x:c>
      <x:c r="B2" s="37" t="str">
        <x:v>LIMPIEZA_COBERTURA</x:v>
      </x:c>
      <x:c r="C2" s="37" t="str">
        <x:v>EPG Salaverry</x:v>
      </x:c>
    </x:row>
    <x:row r="3">
      <x:c r="A3" s="37" t="str">
        <x:v>SRC002</x:v>
      </x:c>
      <x:c r="B3" s="37" t="str">
        <x:v>LIMPIEZA_COBERTURA</x:v>
      </x:c>
      <x:c r="C3" s="37" t="str">
        <x:v>Almacén Central</x:v>
      </x:c>
    </x:row>
    <x:row r="4">
      <x:c r="A4" s="37" t="str">
        <x:v>SRC003</x:v>
      </x:c>
      <x:c r="B4" s="37" t="str">
        <x:v>LIMPIEZA_COBERTURA</x:v>
      </x:c>
      <x:c r="C4" s="37" t="str">
        <x:v>Jarrita</x:v>
      </x:c>
    </x:row>
    <x:row r="5">
      <x:c r="A5" s="37" t="str">
        <x:v>SRC004</x:v>
      </x:c>
      <x:c r="B5" s="37" t="str">
        <x:v>LIMPIEZA_COBERTURA</x:v>
      </x:c>
      <x:c r="C5" s="37" t="str">
        <x:v>Oficinas Administrativas</x:v>
      </x:c>
    </x:row>
    <x:row r="6">
      <x:c r="A6" s="37" t="str">
        <x:v>SRC005</x:v>
      </x:c>
      <x:c r="B6" s="37" t="str">
        <x:v>LIMPIEZA_COBERTURA</x:v>
      </x:c>
      <x:c r="C6" s="37" t="str">
        <x:v>Arequipa II</x:v>
      </x:c>
    </x:row>
    <x:row r="7">
      <x:c r="A7" s="37" t="str">
        <x:v>SRC006</x:v>
      </x:c>
      <x:c r="B7" s="37" t="str">
        <x:v>LIMPIEZA_COBERTURA</x:v>
      </x:c>
      <x:c r="C7" s="37" t="str">
        <x:v>Arequipa III</x:v>
      </x:c>
    </x:row>
    <x:row r="8">
      <x:c r="A8" s="37" t="str">
        <x:v>SRC007</x:v>
      </x:c>
      <x:c r="B8" s="37" t="str">
        <x:v>LIMPIEZA_COBERTURA</x:v>
      </x:c>
      <x:c r="C8" s="37" t="str">
        <x:v>Chimbote</x:v>
      </x:c>
    </x:row>
    <x:row r="9">
      <x:c r="A9" s="37" t="str">
        <x:v>SRC008</x:v>
      </x:c>
      <x:c r="B9" s="37" t="str">
        <x:v>LIMPIEZA_COBERTURA</x:v>
      </x:c>
      <x:c r="C9" s="37" t="str">
        <x:v>Piura</x:v>
      </x:c>
    </x:row>
    <x:row r="10">
      <x:c r="A10" s="37" t="str">
        <x:v>SRC009</x:v>
      </x:c>
      <x:c r="B10" s="37" t="str">
        <x:v>LIMPIEZA_COBERTURA</x:v>
      </x:c>
      <x:c r="C10" s="37" t="str">
        <x:v>Ica</x:v>
      </x:c>
    </x:row>
    <x:row r="11">
      <x:c r="A11" s="37" t="str">
        <x:v>SRC010</x:v>
      </x:c>
      <x:c r="B11" s="37" t="str">
        <x:v>LIMPIEZA_COBERTURA</x:v>
      </x:c>
      <x:c r="C11" s="37" t="str">
        <x:v>Huancayo</x:v>
      </x:c>
    </x:row>
    <x:row r="12">
      <x:c r="A12" s="37" t="str">
        <x:v>SRC011</x:v>
      </x:c>
      <x:c r="B12" s="37" t="str">
        <x:v>LIMPIEZA_COBERTURA</x:v>
      </x:c>
      <x:c r="C12" s="37" t="str">
        <x:v>Huánuco</x:v>
      </x:c>
    </x:row>
    <x:row r="13">
      <x:c r="A13" s="37" t="str">
        <x:v>SRC012</x:v>
      </x:c>
      <x:c r="B13" s="37" t="str">
        <x:v>LIMPIEZA_COBERTURA</x:v>
      </x:c>
      <x:c r="C13" s="37" t="str">
        <x:v>Iquitos</x:v>
      </x:c>
    </x:row>
    <x:row r="14">
      <x:c r="A14" s="37" t="str">
        <x:v>SRC013</x:v>
      </x:c>
      <x:c r="B14" s="37" t="str">
        <x:v>LIMPIEZA_COBERTURA</x:v>
      </x:c>
      <x:c r="C14" s="37" t="str">
        <x:v>Pucallpa</x:v>
      </x:c>
    </x:row>
    <x:row r="15">
      <x:c r="A15" s="37" t="str">
        <x:v>SRC014</x:v>
      </x:c>
      <x:c r="B15" s="37" t="str">
        <x:v>LIMPIEZA_COBERTURA</x:v>
      </x:c>
      <x:c r="C15" s="37" t="str">
        <x:v>Chiclayo</x:v>
      </x:c>
    </x:row>
    <x:row r="16">
      <x:c r="A16" s="37" t="str">
        <x:v>SRC015</x:v>
      </x:c>
      <x:c r="B16" s="37" t="str">
        <x:v>LIMPIEZA_COBERTURA</x:v>
      </x:c>
      <x:c r="C16" s="37" t="str">
        <x:v>Lima Norte</x:v>
      </x:c>
    </x:row>
    <x:row r="17">
      <x:c r="A17" s="37" t="str">
        <x:v>SRC016</x:v>
      </x:c>
      <x:c r="B17" s="37" t="str">
        <x:v>LIMPIEZA_COBERTURA</x:v>
      </x:c>
      <x:c r="C17" s="37" t="str">
        <x:v>Arequipa I</x:v>
      </x:c>
    </x:row>
    <x:row r="18">
      <x:c r="A18" s="37" t="str">
        <x:v>SRC017</x:v>
      </x:c>
      <x:c r="B18" s="37" t="str">
        <x:v>LIMPIEZA_COBERTURA</x:v>
      </x:c>
      <x:c r="C18" s="37" t="str">
        <x:v>Sede Central</x:v>
      </x:c>
    </x:row>
    <x:row r="19">
      <x:c r="A19" s="37" t="str">
        <x:v>SRC018</x:v>
      </x:c>
      <x:c r="B19" s="37" t="str">
        <x:v>LIMPIEZA_COBERTURA</x:v>
      </x:c>
      <x:c r="C19" s="37" t="str">
        <x:v>Lima Sur</x:v>
      </x:c>
    </x:row>
    <x:row r="20">
      <x:c r="A20" s="37" t="str">
        <x:v>SRC019</x:v>
      </x:c>
      <x:c r="B20" s="37" t="str">
        <x:v>LIMPIEZA_COBERTURA</x:v>
      </x:c>
      <x:c r="C20" s="37" t="str">
        <x:v>Torre Nueva</x:v>
      </x:c>
    </x:row>
    <x:row r="21">
      <x:c r="A21" s="37" t="str">
        <x:v>SRC020</x:v>
      </x:c>
      <x:c r="B21" s="37" t="str">
        <x:v>LIMPIEZA_COBERTURA</x:v>
      </x:c>
      <x:c r="C21" s="37" t="str">
        <x:v>Trujillo</x:v>
      </x:c>
    </x:row>
    <x:row r="22">
      <x:c r="A22" s="37" t="str">
        <x:v>SRC021</x:v>
      </x:c>
      <x:c r="B22" s="37" t="str">
        <x:v>LIMPIEZA_COBERTURA</x:v>
      </x:c>
      <x:c r="C22" s="37" t="str">
        <x:v>Ate</x:v>
      </x:c>
    </x:row>
    <x:row r="23">
      <x:c r="A23" s="37" t="str">
        <x:v>SRC022</x:v>
      </x:c>
      <x:c r="B23" s="37" t="str">
        <x:v>LIMPIEZA_COBERTURA</x:v>
      </x:c>
      <x:c r="C23" s="37" t="str">
        <x:v>SJL I</x:v>
      </x:c>
    </x:row>
    <x:row r="24">
      <x:c r="A24" s="37" t="str">
        <x:v>SRC023</x:v>
      </x:c>
      <x:c r="B24" s="37" t="str">
        <x:v>LIMPIEZA_COBERTURA</x:v>
      </x:c>
      <x:c r="C24" s="37" t="str">
        <x:v>SJL II</x:v>
      </x:c>
    </x:row>
    <x:row r="25">
      <x:c r="A25" s="37" t="str">
        <x:v>SRC024</x:v>
      </x:c>
      <x:c r="B25" s="37" t="str">
        <x:v>LIMPIEZA_COBERTURA</x:v>
      </x:c>
      <x:c r="C25" s="37" t="str">
        <x:v>Torre II</x:v>
      </x:c>
    </x:row>
    <x:row r="26">
      <x:c r="A26" s="37" t="str">
        <x:v>SRC025</x:v>
      </x:c>
      <x:c r="B26" s="37" t="str">
        <x:v>LIMPIEZA_COBERTURA</x:v>
      </x:c>
      <x:c r="C26" s="37" t="str">
        <x:v>José Díaz</x:v>
      </x:c>
    </x:row>
    <x:row r="27">
      <x:c r="A27" s="37" t="str">
        <x:v>SRC026</x:v>
      </x:c>
      <x:c r="B27" s="37" t="str">
        <x:v>LIMPIEZA_COBERTURA</x:v>
      </x:c>
      <x:c r="C27" s="37" t="str">
        <x:v>Tacna</x:v>
      </x:c>
    </x:row>
    <x:row r="28">
      <x:c r="A28" s="37" t="str">
        <x:v>SRC027</x:v>
      </x:c>
      <x:c r="B28" s="37" t="str">
        <x:v>LIMPIEZA_COBERTURA</x:v>
      </x:c>
      <x:c r="C28" s="37" t="str">
        <x:v>Pacífico</x:v>
      </x:c>
    </x:row>
    <x:row r="29">
      <x:c r="A29" s="37" t="str">
        <x:v>SRC028</x:v>
      </x:c>
      <x:c r="B29" s="37" t="str">
        <x:v>LIMPIEZA_COBERTURA</x:v>
      </x:c>
      <x:c r="C29" s="37" t="str">
        <x:v>Arequipa Postgrado</x:v>
      </x:c>
    </x:row>
    <x:row r="30">
      <x:c r="A30" s="37" t="str">
        <x:v>SRC029</x:v>
      </x:c>
      <x:c r="B30" s="37" t="str">
        <x:v>AULA911_CAMPUS</x:v>
      </x:c>
      <x:c r="C30" s="37" t="str">
        <x:v>Campus Chimbote</x:v>
      </x:c>
    </x:row>
    <x:row r="31">
      <x:c r="A31" s="37" t="str">
        <x:v>SRC030</x:v>
      </x:c>
      <x:c r="B31" s="37" t="str">
        <x:v>AULA911_CAMPUS</x:v>
      </x:c>
      <x:c r="C31" s="37" t="str">
        <x:v>Campus Iquitos</x:v>
      </x:c>
    </x:row>
    <x:row r="32">
      <x:c r="A32" s="37" t="str">
        <x:v>SRC031</x:v>
      </x:c>
      <x:c r="B32" s="37" t="str">
        <x:v>AULA911_CAMPUS</x:v>
      </x:c>
      <x:c r="C32" s="37" t="str">
        <x:v>Campus Trujillo</x:v>
      </x:c>
    </x:row>
    <x:row r="33">
      <x:c r="A33" s="37" t="str">
        <x:v>SRC032</x:v>
      </x:c>
      <x:c r="B33" s="37" t="str">
        <x:v>AULA911_CAMPUS</x:v>
      </x:c>
      <x:c r="C33" s="37" t="str">
        <x:v>Campus Piura</x:v>
      </x:c>
    </x:row>
    <x:row r="34">
      <x:c r="A34" s="37" t="str">
        <x:v>SRC033</x:v>
      </x:c>
      <x:c r="B34" s="37" t="str">
        <x:v>AULA911_CAMPUS</x:v>
      </x:c>
      <x:c r="C34" s="37" t="str">
        <x:v>Campus Ate UTP</x:v>
      </x:c>
    </x:row>
    <x:row r="35">
      <x:c r="A35" s="37" t="str">
        <x:v>SRC034</x:v>
      </x:c>
      <x:c r="B35" s="37" t="str">
        <x:v>AULA911_CAMPUS</x:v>
      </x:c>
      <x:c r="C35" s="37" t="str">
        <x:v>Campus Huancayo</x:v>
      </x:c>
    </x:row>
    <x:row r="36">
      <x:c r="A36" s="37" t="str">
        <x:v>SRC035</x:v>
      </x:c>
      <x:c r="B36" s="37" t="str">
        <x:v>AULA911_CAMPUS</x:v>
      </x:c>
      <x:c r="C36" s="37" t="str">
        <x:v>Campus Arequipa</x:v>
      </x:c>
    </x:row>
    <x:row r="37">
      <x:c r="A37" s="37" t="str">
        <x:v>SRC036</x:v>
      </x:c>
      <x:c r="B37" s="37" t="str">
        <x:v>AULA911_CAMPUS</x:v>
      </x:c>
      <x:c r="C37" s="37" t="str">
        <x:v>Parra</x:v>
      </x:c>
    </x:row>
    <x:row r="38">
      <x:c r="A38" s="37" t="str">
        <x:v>SRC037</x:v>
      </x:c>
      <x:c r="B38" s="37" t="str">
        <x:v>AULA911_CAMPUS</x:v>
      </x:c>
      <x:c r="C38" s="37" t="str">
        <x:v>Tacna y Arica</x:v>
      </x:c>
    </x:row>
    <x:row r="39">
      <x:c r="A39" s="37" t="str">
        <x:v>SRC038</x:v>
      </x:c>
      <x:c r="B39" s="37" t="str">
        <x:v>AULA911_CAMPUS</x:v>
      </x:c>
      <x:c r="C39" s="37" t="str">
        <x:v>Parra 2</x:v>
      </x:c>
    </x:row>
    <x:row r="40">
      <x:c r="A40" s="37" t="str">
        <x:v>SRC039</x:v>
      </x:c>
      <x:c r="B40" s="37" t="str">
        <x:v>AULA911_CAMPUS</x:v>
      </x:c>
      <x:c r="C40" s="37" t="str">
        <x:v>Campus San Juan de Lurigancho</x:v>
      </x:c>
    </x:row>
    <x:row r="41">
      <x:c r="A41" s="37" t="str">
        <x:v>SRC040</x:v>
      </x:c>
      <x:c r="B41" s="37" t="str">
        <x:v>AULA911_CAMPUS</x:v>
      </x:c>
      <x:c r="C41" s="37" t="str">
        <x:v>Campus Lima</x:v>
      </x:c>
    </x:row>
    <x:row r="42">
      <x:c r="A42" s="37" t="str">
        <x:v>SRC041</x:v>
      </x:c>
      <x:c r="B42" s="37" t="str">
        <x:v>AULA911_CAMPUS</x:v>
      </x:c>
      <x:c r="C42" s="37" t="str">
        <x:v>Torre Petit Thouars</x:v>
      </x:c>
    </x:row>
    <x:row r="43">
      <x:c r="A43" s="37" t="str">
        <x:v>SRC042</x:v>
      </x:c>
      <x:c r="B43" s="37" t="str">
        <x:v>AULA911_CAMPUS</x:v>
      </x:c>
      <x:c r="C43" s="37" t="str">
        <x:v>Edificio Pacífico</x:v>
      </x:c>
    </x:row>
    <x:row r="44">
      <x:c r="A44" s="37" t="str">
        <x:v>SRC043</x:v>
      </x:c>
      <x:c r="B44" s="37" t="str">
        <x:v>AULA911_CAMPUS</x:v>
      </x:c>
      <x:c r="C44" s="37" t="str">
        <x:v>Torre Arequipa</x:v>
      </x:c>
    </x:row>
    <x:row r="45">
      <x:c r="A45" s="37" t="str">
        <x:v>SRC044</x:v>
      </x:c>
      <x:c r="B45" s="37" t="str">
        <x:v>AULA911_CAMPUS</x:v>
      </x:c>
      <x:c r="C45" s="37" t="str">
        <x:v>Sede Central</x:v>
      </x:c>
    </x:row>
    <x:row r="46">
      <x:c r="A46" s="37" t="str">
        <x:v>SRC045</x:v>
      </x:c>
      <x:c r="B46" s="37" t="str">
        <x:v>AULA911_CAMPUS</x:v>
      </x:c>
      <x:c r="C46" s="37" t="str">
        <x:v>Campus Chiclayo</x:v>
      </x:c>
    </x:row>
    <x:row r="47">
      <x:c r="A47" s="37" t="str">
        <x:v>SRC046</x:v>
      </x:c>
      <x:c r="B47" s="37" t="str">
        <x:v>AULA911_CAMPUS</x:v>
      </x:c>
      <x:c r="C47" s="37" t="str">
        <x:v>Campus Ica</x:v>
      </x:c>
    </x:row>
    <x:row r="48">
      <x:c r="A48" s="37" t="str">
        <x:v>SRC047</x:v>
      </x:c>
      <x:c r="B48" s="37" t="str">
        <x:v>AULA911_CAMPUS</x:v>
      </x:c>
      <x:c r="C48" s="37" t="str">
        <x:v>Campus Tacna</x:v>
      </x:c>
    </x:row>
    <x:row r="49">
      <x:c r="A49" s="37" t="str">
        <x:v>SRC048</x:v>
      </x:c>
      <x:c r="B49" s="37" t="str">
        <x:v>AULA911_CAMPUS</x:v>
      </x:c>
      <x:c r="C49" s="37" t="str">
        <x:v>Campus Pucallpa</x:v>
      </x:c>
    </x:row>
    <x:row r="50">
      <x:c r="A50" s="37" t="str">
        <x:v>SRC049</x:v>
      </x:c>
      <x:c r="B50" s="37" t="str">
        <x:v>AULA911_CAMPUS</x:v>
      </x:c>
      <x:c r="C50" s="37" t="str">
        <x:v>Campus Lima Norte UTP</x:v>
      </x:c>
    </x:row>
    <x:row r="51">
      <x:c r="A51" s="37" t="str">
        <x:v>SRC050</x:v>
      </x:c>
      <x:c r="B51" s="37" t="str">
        <x:v>AULA911_CAMPUS</x:v>
      </x:c>
      <x:c r="C51" s="37" t="str">
        <x:v>Campus Lima Sur UTP</x:v>
      </x:c>
    </x:row>
    <x:row r="52">
      <x:c r="A52" s="37" t="str">
        <x:v>SRC051</x:v>
      </x:c>
      <x:c r="B52" s="37" t="str">
        <x:v>RONDAS</x:v>
      </x:c>
      <x:c r="C52" s="37" t="str">
        <x:v>03. UTP SJL</x:v>
      </x:c>
    </x:row>
    <x:row r="53">
      <x:c r="A53" s="37" t="str">
        <x:v>SRC052</x:v>
      </x:c>
      <x:c r="B53" s="37" t="str">
        <x:v>RONDAS</x:v>
      </x:c>
      <x:c r="C53" s="37" t="str">
        <x:v>04. UTP Ate</x:v>
      </x:c>
    </x:row>
    <x:row r="54">
      <x:c r="A54" s="37" t="str">
        <x:v>SRC053</x:v>
      </x:c>
      <x:c r="B54" s="37" t="str">
        <x:v>RONDAS</x:v>
      </x:c>
      <x:c r="C54" s="37" t="str">
        <x:v>05. UTP Lima Sur</x:v>
      </x:c>
    </x:row>
    <x:row r="55">
      <x:c r="A55" s="37" t="str">
        <x:v>SRC054</x:v>
      </x:c>
      <x:c r="B55" s="37" t="str">
        <x:v>RONDAS</x:v>
      </x:c>
      <x:c r="C55" s="37" t="str">
        <x:v>06. UTP Arequipa</x:v>
      </x:c>
    </x:row>
    <x:row r="56">
      <x:c r="A56" s="37" t="str">
        <x:v>SRC055</x:v>
      </x:c>
      <x:c r="B56" s="37" t="str">
        <x:v>RONDAS</x:v>
      </x:c>
      <x:c r="C56" s="37" t="str">
        <x:v>09. UTP Piura</x:v>
      </x:c>
    </x:row>
    <x:row r="57">
      <x:c r="A57" s="37" t="str">
        <x:v>SRC056</x:v>
      </x:c>
      <x:c r="B57" s="37" t="str">
        <x:v>RONDAS</x:v>
      </x:c>
      <x:c r="C57" s="37" t="str">
        <x:v>10. UTP Chimbote</x:v>
      </x:c>
    </x:row>
    <x:row r="58">
      <x:c r="A58" s="37" t="str">
        <x:v>SRC057</x:v>
      </x:c>
      <x:c r="B58" s="37" t="str">
        <x:v>RONDAS</x:v>
      </x:c>
      <x:c r="C58" s="37" t="str">
        <x:v>11. UTP Huancayo</x:v>
      </x:c>
    </x:row>
    <x:row r="59">
      <x:c r="A59" s="37" t="str">
        <x:v>SRC058</x:v>
      </x:c>
      <x:c r="B59" s="37" t="str">
        <x:v>RONDAS</x:v>
      </x:c>
      <x:c r="C59" s="37" t="str">
        <x:v>02. UTP Lima Norte</x:v>
      </x:c>
    </x:row>
    <x:row r="60">
      <x:c r="A60" s="37" t="str">
        <x:v>SRC059</x:v>
      </x:c>
      <x:c r="B60" s="37" t="str">
        <x:v>RONDAS</x:v>
      </x:c>
      <x:c r="C60" s="37" t="str">
        <x:v>07. UTP Chiclayo</x:v>
      </x:c>
    </x:row>
    <x:row r="61">
      <x:c r="A61" s="37" t="str">
        <x:v>SRC060</x:v>
      </x:c>
      <x:c r="B61" s="37" t="str">
        <x:v>RONDAS</x:v>
      </x:c>
      <x:c r="C61" s="37" t="str">
        <x:v>01. UTP Lima Centro</x:v>
      </x:c>
    </x:row>
    <x:row r="62">
      <x:c r="A62" s="37" t="str">
        <x:v>SRC061</x:v>
      </x:c>
      <x:c r="B62" s="37" t="str">
        <x:v>RONDAS</x:v>
      </x:c>
      <x:c r="C62" s="37" t="str">
        <x:v>01. UTP Lima Centro Sede Central</x:v>
      </x:c>
    </x:row>
    <x:row r="63">
      <x:c r="A63" s="37" t="str">
        <x:v>SRC062</x:v>
      </x:c>
      <x:c r="B63" s="37" t="str">
        <x:v>RONDAS</x:v>
      </x:c>
      <x:c r="C63" s="37" t="str">
        <x:v>03. UTP Lima Centro Torre Petit Thouars</x:v>
      </x:c>
    </x:row>
    <x:row r="64">
      <x:c r="A64" s="37" t="str">
        <x:v>SRC063</x:v>
      </x:c>
      <x:c r="B64" s="37" t="str">
        <x:v>RONDAS</x:v>
      </x:c>
      <x:c r="C64" s="37" t="str">
        <x:v>04. UTP Lima Centro Torre Pacífico</x:v>
      </x:c>
    </x:row>
    <x:row r="65">
      <x:c r="A65" s="37" t="str">
        <x:v>SRC064</x:v>
      </x:c>
      <x:c r="B65" s="37" t="str">
        <x:v>RONDAS</x:v>
      </x:c>
      <x:c r="C65" s="37" t="str">
        <x:v>02. UTP Lima Centro Torre Arequipa</x:v>
      </x:c>
    </x:row>
    <x:row r="66">
      <x:c r="A66" s="37" t="str">
        <x:v>SRC065</x:v>
      </x:c>
      <x:c r="B66" s="37" t="str">
        <x:v>RONDAS</x:v>
      </x:c>
      <x:c r="C66" s="37" t="str">
        <x:v>15. UTP Tacna</x:v>
      </x:c>
    </x:row>
    <x:row r="67">
      <x:c r="A67" s="37" t="str">
        <x:v>SRC066</x:v>
      </x:c>
      <x:c r="B67" s="37" t="str">
        <x:v>RONDAS</x:v>
      </x:c>
      <x:c r="C67" s="37" t="str">
        <x:v>12. UTP Trujillo</x:v>
      </x:c>
    </x:row>
    <x:row r="68">
      <x:c r="A68" s="37" t="str">
        <x:v>SRC067</x:v>
      </x:c>
      <x:c r="B68" s="37" t="str">
        <x:v>RONDAS</x:v>
      </x:c>
      <x:c r="C68" s="37" t="str">
        <x:v>13. UTP Iquitos</x:v>
      </x:c>
    </x:row>
    <x:row r="69">
      <x:c r="A69" s="37" t="str">
        <x:v>SRC068</x:v>
      </x:c>
      <x:c r="B69" s="37" t="str">
        <x:v>RONDAS</x:v>
      </x:c>
      <x:c r="C69" s="37" t="str">
        <x:v>08. UTP Ica</x:v>
      </x:c>
    </x:row>
    <x:row r="70">
      <x:c r="A70" s="37" t="str">
        <x:v>SRC069</x:v>
      </x:c>
      <x:c r="B70" s="37" t="str">
        <x:v>RONDAS</x:v>
      </x:c>
      <x:c r="C70" s="37" t="str">
        <x:v>14. UTP Pucallpa</x:v>
      </x:c>
    </x:row>
    <x:row r="71">
      <x:c r="A71" s="37" t="str">
        <x:v>SRC070</x:v>
      </x:c>
      <x:c r="B71" s="37" t="str">
        <x:v>MEJORAS_PROGRAMACION</x:v>
      </x:c>
      <x:c r="C71" s="37" t="str">
        <x:v>Corporativo - Natalio</x:v>
      </x:c>
    </x:row>
    <x:row r="72">
      <x:c r="A72" s="37" t="str">
        <x:v>SRC071</x:v>
      </x:c>
      <x:c r="B72" s="37" t="str">
        <x:v>MEJORAS_PROGRAMACION</x:v>
      </x:c>
      <x:c r="C72" s="37" t="str">
        <x:v>UTP Arequipa</x:v>
      </x:c>
    </x:row>
    <x:row r="73">
      <x:c r="A73" s="37" t="str">
        <x:v>SRC072</x:v>
      </x:c>
      <x:c r="B73" s="37" t="str">
        <x:v>MEJORAS_PROGRAMACION</x:v>
      </x:c>
      <x:c r="C73" s="37" t="str">
        <x:v>UTP Chiclayo</x:v>
      </x:c>
    </x:row>
    <x:row r="74">
      <x:c r="A74" s="37" t="str">
        <x:v>SRC073</x:v>
      </x:c>
      <x:c r="B74" s="37" t="str">
        <x:v>MEJORAS_PROGRAMACION</x:v>
      </x:c>
      <x:c r="C74" s="37" t="str">
        <x:v>UTP Chimbote</x:v>
      </x:c>
    </x:row>
    <x:row r="75">
      <x:c r="A75" s="37" t="str">
        <x:v>SRC074</x:v>
      </x:c>
      <x:c r="B75" s="37" t="str">
        <x:v>MEJORAS_PROGRAMACION</x:v>
      </x:c>
      <x:c r="C75" s="37" t="str">
        <x:v>UTP Huancayo</x:v>
      </x:c>
    </x:row>
    <x:row r="76">
      <x:c r="A76" s="37" t="str">
        <x:v>SRC075</x:v>
      </x:c>
      <x:c r="B76" s="37" t="str">
        <x:v>MEJORAS_PROGRAMACION</x:v>
      </x:c>
      <x:c r="C76" s="37" t="str">
        <x:v>UTP Ica</x:v>
      </x:c>
    </x:row>
    <x:row r="77">
      <x:c r="A77" s="37" t="str">
        <x:v>SRC076</x:v>
      </x:c>
      <x:c r="B77" s="37" t="str">
        <x:v>MEJORAS_PROGRAMACION</x:v>
      </x:c>
      <x:c r="C77" s="37" t="str">
        <x:v>UTP Iquitos</x:v>
      </x:c>
    </x:row>
    <x:row r="78">
      <x:c r="A78" s="37" t="str">
        <x:v>SRC077</x:v>
      </x:c>
      <x:c r="B78" s="37" t="str">
        <x:v>MEJORAS_PROGRAMACION</x:v>
      </x:c>
      <x:c r="C78" s="37" t="str">
        <x:v>UTP Lima Centro</x:v>
      </x:c>
    </x:row>
    <x:row r="79">
      <x:c r="A79" s="37" t="str">
        <x:v>SRC078</x:v>
      </x:c>
      <x:c r="B79" s="37" t="str">
        <x:v>MEJORAS_PROGRAMACION</x:v>
      </x:c>
      <x:c r="C79" s="37" t="str">
        <x:v>UTP Lima Este</x:v>
      </x:c>
    </x:row>
    <x:row r="80">
      <x:c r="A80" s="37" t="str">
        <x:v>SRC079</x:v>
      </x:c>
      <x:c r="B80" s="37" t="str">
        <x:v>MEJORAS_PROGRAMACION</x:v>
      </x:c>
      <x:c r="C80" s="37" t="str">
        <x:v>UTP Lima Norte</x:v>
      </x:c>
    </x:row>
    <x:row r="81">
      <x:c r="A81" s="37" t="str">
        <x:v>SRC080</x:v>
      </x:c>
      <x:c r="B81" s="37" t="str">
        <x:v>MEJORAS_PROGRAMACION</x:v>
      </x:c>
      <x:c r="C81" s="37" t="str">
        <x:v>UTP Lima Sur</x:v>
      </x:c>
    </x:row>
    <x:row r="82">
      <x:c r="A82" s="37" t="str">
        <x:v>SRC081</x:v>
      </x:c>
      <x:c r="B82" s="37" t="str">
        <x:v>MEJORAS_PROGRAMACION</x:v>
      </x:c>
      <x:c r="C82" s="37" t="str">
        <x:v>UTP Piura</x:v>
      </x:c>
    </x:row>
    <x:row r="83">
      <x:c r="A83" s="37" t="str">
        <x:v>SRC082</x:v>
      </x:c>
      <x:c r="B83" s="37" t="str">
        <x:v>MEJORAS_PROGRAMACION</x:v>
      </x:c>
      <x:c r="C83" s="37" t="str">
        <x:v>UTP Pucallpa</x:v>
      </x:c>
    </x:row>
    <x:row r="84">
      <x:c r="A84" s="37" t="str">
        <x:v>SRC083</x:v>
      </x:c>
      <x:c r="B84" s="37" t="str">
        <x:v>MEJORAS_PROGRAMACION</x:v>
      </x:c>
      <x:c r="C84" s="37" t="str">
        <x:v>UTP SJL</x:v>
      </x:c>
    </x:row>
    <x:row r="85">
      <x:c r="A85" s="37" t="str">
        <x:v>SRC084</x:v>
      </x:c>
      <x:c r="B85" s="37" t="str">
        <x:v>MEJORAS_PROGRAMACION</x:v>
      </x:c>
      <x:c r="C85" s="37" t="str">
        <x:v>UTP Tacna</x:v>
      </x:c>
    </x:row>
    <x:row r="86">
      <x:c r="A86" s="37" t="str">
        <x:v>SRC085</x:v>
      </x:c>
      <x:c r="B86" s="37" t="str">
        <x:v>MEJORAS_PROGRAMACION</x:v>
      </x:c>
      <x:c r="C86" s="37" t="str">
        <x:v>UTP Trujillo</x:v>
      </x:c>
    </x:row>
    <x:row r="87">
      <x:c r="A87" s="37" t="str">
        <x:v>SRC086</x:v>
      </x:c>
      <x:c r="B87" s="37" t="str">
        <x:v>MEJORAS_PROGRAMACION</x:v>
      </x:c>
      <x:c r="C87" s="37" t="str">
        <x:v>UTP EPG Salaverry</x:v>
      </x:c>
    </x:row>
    <x:row r="88">
      <x:c r="A88" s="37" t="str">
        <x:v>SRC087</x:v>
      </x:c>
      <x:c r="B88" s="37" t="str">
        <x:v>LISTO</x:v>
      </x:c>
      <x:c r="C88" s="37" t="str">
        <x:v>LC – Torre Tecnológica Arequipa (I)</x:v>
      </x:c>
    </x:row>
    <x:row r="89">
      <x:c r="A89" s="37" t="str">
        <x:v>SRC088</x:v>
      </x:c>
      <x:c r="B89" s="37" t="str">
        <x:v>LISTO</x:v>
      </x:c>
      <x:c r="C89" s="37" t="str">
        <x:v>LC – Sede Central (I)</x:v>
      </x:c>
    </x:row>
    <x:row r="90">
      <x:c r="A90" s="37" t="str">
        <x:v>SRC089</x:v>
      </x:c>
      <x:c r="B90" s="37" t="str">
        <x:v>LISTO</x:v>
      </x:c>
      <x:c r="C90" s="37" t="str">
        <x:v>LC – Torre II (I)</x:v>
      </x:c>
    </x:row>
    <x:row r="91">
      <x:c r="A91" s="37" t="str">
        <x:v>SRC090</x:v>
      </x:c>
      <x:c r="B91" s="37" t="str">
        <x:v>LISTO</x:v>
      </x:c>
      <x:c r="C91" s="37" t="str">
        <x:v>LS – Piso 1 (I)</x:v>
      </x:c>
    </x:row>
    <x:row r="92">
      <x:c r="A92" s="37" t="str">
        <x:v>SRC091</x:v>
      </x:c>
      <x:c r="B92" s="37" t="str">
        <x:v>LISTO</x:v>
      </x:c>
      <x:c r="C92" s="37" t="str">
        <x:v>LS – Piso 10 (I)</x:v>
      </x:c>
    </x:row>
    <x:row r="93">
      <x:c r="A93" s="37" t="str">
        <x:v>SRC092</x:v>
      </x:c>
      <x:c r="B93" s="37" t="str">
        <x:v>LISTO</x:v>
      </x:c>
      <x:c r="C93" s="37" t="str">
        <x:v>Ica (I)</x:v>
      </x:c>
    </x:row>
    <x:row r="94">
      <x:c r="A94" s="37" t="str">
        <x:v>SRC093</x:v>
      </x:c>
      <x:c r="B94" s="37" t="str">
        <x:v>LISTO</x:v>
      </x:c>
      <x:c r="C94" s="37" t="str">
        <x:v>Arequipa – Tacna y Arica (I)</x:v>
      </x:c>
    </x:row>
    <x:row r="95">
      <x:c r="A95" s="37" t="str">
        <x:v>SRC094</x:v>
      </x:c>
      <x:c r="B95" s="37" t="str">
        <x:v>LISTO</x:v>
      </x:c>
      <x:c r="C95" s="37" t="str">
        <x:v>LC – Pacífico (II)</x:v>
      </x:c>
    </x:row>
    <x:row r="96">
      <x:c r="A96" s="37" t="str">
        <x:v>SRC095</x:v>
      </x:c>
      <x:c r="B96" s="37" t="str">
        <x:v>LISTO</x:v>
      </x:c>
      <x:c r="C96" s="37" t="str">
        <x:v>SJL (II)</x:v>
      </x:c>
    </x:row>
    <x:row r="97">
      <x:c r="A97" s="37" t="str">
        <x:v>SRC096</x:v>
      </x:c>
      <x:c r="B97" s="37" t="str">
        <x:v>LISTO</x:v>
      </x:c>
      <x:c r="C97" s="37" t="str">
        <x:v>Arequipa – Parra 2 (II)</x:v>
      </x:c>
    </x:row>
    <x:row r="98">
      <x:c r="A98" s="37" t="str">
        <x:v>SRC097</x:v>
      </x:c>
      <x:c r="B98" s="37" t="str">
        <x:v>LISTO</x:v>
      </x:c>
      <x:c r="C98" s="37" t="str">
        <x:v>Trujillo (III)</x:v>
      </x:c>
    </x:row>
    <x:row r="99">
      <x:c r="A99" s="37" t="str">
        <x:v>SRC098</x:v>
      </x:c>
      <x:c r="B99" s="37" t="str">
        <x:v>LISTO</x:v>
      </x:c>
      <x:c r="C99" s="37" t="str">
        <x:v>Arequipa - Parra 1 (III)</x:v>
      </x:c>
    </x:row>
    <x:row r="100">
      <x:c r="A100" s="37" t="str">
        <x:v>SRC099</x:v>
      </x:c>
      <x:c r="B100" s="37" t="str">
        <x:v>LISTO</x:v>
      </x:c>
      <x:c r="C100" s="37" t="str">
        <x:v>Lima Norte (III)</x:v>
      </x:c>
    </x:row>
    <x:row r="101">
      <x:c r="A101" s="37" t="str">
        <x:v>SRC100</x:v>
      </x:c>
      <x:c r="B101" s="37" t="str">
        <x:v>LISTO</x:v>
      </x:c>
      <x:c r="C101" s="37" t="str">
        <x:v>Chiclayo (III)</x:v>
      </x:c>
    </x:row>
    <x:row r="102">
      <x:c r="A102" s="37" t="str">
        <x:v>SRC101</x:v>
      </x:c>
      <x:c r="B102" s="37" t="str">
        <x:v>LISTO</x:v>
      </x:c>
      <x:c r="C102" s="37" t="str">
        <x:v>ATE (III)</x:v>
      </x:c>
    </x:row>
    <x:row r="103">
      <x:c r="A103" s="37" t="str">
        <x:v>SRC102</x:v>
      </x:c>
      <x:c r="B103" s="37" t="str">
        <x:v>LISTO</x:v>
      </x:c>
      <x:c r="C103" s="37" t="str">
        <x:v>Pucallpa (III)</x:v>
      </x:c>
    </x:row>
    <x:row r="104">
      <x:c r="A104" s="37" t="str">
        <x:v>SRC103</x:v>
      </x:c>
      <x:c r="B104" s="37" t="str">
        <x:v>LISTO</x:v>
      </x:c>
      <x:c r="C104" s="37" t="str">
        <x:v>Iquitos (III)</x:v>
      </x:c>
    </x:row>
    <x:row r="105">
      <x:c r="A105" s="37" t="str">
        <x:v>SRC104</x:v>
      </x:c>
      <x:c r="B105" s="37" t="str">
        <x:v>LISTO</x:v>
      </x:c>
      <x:c r="C105" s="37" t="str">
        <x:v>Chimbote (III)</x:v>
      </x:c>
    </x:row>
    <x:row r="106">
      <x:c r="A106" s="38" t="str">
        <x:v>SRC105</x:v>
      </x:c>
      <x:c r="B106" s="38" t="str">
        <x:v>LISTO</x:v>
      </x:c>
      <x:c r="C106" s="38" t="str">
        <x:v>Resto de campus (III)</x:v>
      </x:c>
    </x:row>
  </x:sheetData>
  <x:pageMargins left="0.7" right="0.7" top="0.75" bottom="0.75" header="0.3" footer="0.3"/>
  <x:tableParts count="1">
    <x:tablePart xmlns:r="http://schemas.openxmlformats.org/officeDocument/2006/relationships" r:id="Rcc80ad6e109b4b8d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0" hidden="0" customWidth="1"/>
    <x:col min="3" max="3" width="20" hidden="0" customWidth="1"/>
  </x:cols>
  <x:sheetData>
    <x:row r="1">
      <x:c r="A1" s="66" t="str">
        <x:v>Resumen de control de la base para GitHub</x:v>
      </x:c>
    </x:row>
    <x:row r="3">
      <x:c r="A3" s="11" t="str">
        <x:v>Indicador</x:v>
      </x:c>
      <x:c r="B3" s="11" t="str">
        <x:v>Valor calculado</x:v>
      </x:c>
      <x:c r="C3" s="11" t="str">
        <x:v>Referencia HTML</x:v>
      </x:c>
      <x:c r="E3" s="72" t="str">
        <x:v>Estado</x:v>
      </x:c>
      <x:c r="F3" s="72" t="str">
        <x:v>Cantidad</x:v>
      </x:c>
    </x:row>
    <x:row r="4">
      <x:c r="A4" t="str">
        <x:v>Proyectos totales</x:v>
      </x:c>
      <x:c r="B4" t="n">
        <x:f>COUNTA(PROYECTOS!A2:A1000)</x:f>
        <x:v>19</x:v>
      </x:c>
      <x:c r="C4" t="n">
        <x:v>19</x:v>
      </x:c>
      <x:c r="E4" t="str">
        <x:v>En proceso</x:v>
      </x:c>
      <x:c r="F4" t="n">
        <x:v>8</x:v>
      </x:c>
    </x:row>
    <x:row r="5">
      <x:c r="A5" t="str">
        <x:v>Proyectos en proceso</x:v>
      </x:c>
      <x:c r="B5" t="n">
        <x:f>COUNTIF(PROYECTOS!C2:C1000,"En proceso")</x:f>
        <x:v>8</x:v>
      </x:c>
      <x:c r="C5" t="n">
        <x:v>8</x:v>
      </x:c>
      <x:c r="E5" t="str">
        <x:v>Pendiente</x:v>
      </x:c>
      <x:c r="F5" t="n">
        <x:v>11</x:v>
      </x:c>
    </x:row>
    <x:row r="6">
      <x:c r="A6" t="str">
        <x:v>Proyectos pendientes</x:v>
      </x:c>
      <x:c r="B6" t="n">
        <x:f>COUNTIF(PROYECTOS!C2:C1000,"Pendiente")</x:f>
        <x:v>11</x:v>
      </x:c>
      <x:c r="C6" t="n">
        <x:v>11</x:v>
      </x:c>
    </x:row>
    <x:row r="7">
      <x:c r="A7" t="str">
        <x:v>Listo registros</x:v>
      </x:c>
      <x:c r="B7" t="n">
        <x:f>COUNTA(LISTO!A2:A1000)</x:f>
        <x:v>19</x:v>
      </x:c>
      <x:c r="C7" t="n">
        <x:v>19</x:v>
      </x:c>
    </x:row>
    <x:row r="8">
      <x:c r="A8" t="str">
        <x:v>Listo operativos</x:v>
      </x:c>
      <x:c r="B8" t="n">
        <x:f>COUNTIF(LISTO!E2:E1000,"Sí")</x:f>
        <x:v>11</x:v>
      </x:c>
      <x:c r="C8" t="n">
        <x:v>11</x:v>
      </x:c>
    </x:row>
    <x:row r="9">
      <x:c r="A9" t="str">
        <x:v>Mejoras matriz mensual</x:v>
      </x:c>
      <x:c r="B9" t="n">
        <x:f>SUM(MEJORAS_PROGRAMACION!J2:J1000)</x:f>
        <x:v>267</x:v>
      </x:c>
      <x:c r="C9" t="n">
        <x:v>267</x:v>
      </x:c>
    </x:row>
    <x:row r="11">
      <x:c r="A11" s="11" t="str">
        <x:v>Control de discrepancias</x:v>
      </x:c>
      <x:c r="B11" s="11" t="str">
        <x:v>Valor</x:v>
      </x:c>
      <x:c r="C11" s="11" t="str">
        <x:v>Nota</x:v>
      </x:c>
    </x:row>
    <x:row r="12">
      <x:c r="A12" t="str">
        <x:v>Mejoras total por estado</x:v>
      </x:c>
      <x:c r="B12" t="n">
        <x:v>294</x:v>
      </x:c>
      <x:c r="C12" t="str">
        <x:v>KPI general del HTML</x:v>
      </x:c>
    </x:row>
    <x:row r="13">
      <x:c r="A13" t="str">
        <x:v>Mejoras total matriz mensual</x:v>
      </x:c>
      <x:c r="B13" t="n">
        <x:v>267</x:v>
      </x:c>
      <x:c r="C13" t="str">
        <x:v>Matriz mensual del HTML</x:v>
      </x:c>
    </x:row>
    <x:row r="14">
      <x:c r="A14" s="69" t="str">
        <x:v>Diferencia</x:v>
      </x:c>
      <x:c r="B14" s="69" t="n">
        <x:f>B12-B13</x:f>
        <x:v>27</x:v>
      </x:c>
      <x:c r="C14" s="69" t="str">
        <x:v>Conservar hasta validar con la fuente original</x:v>
      </x:c>
    </x:row>
  </x:sheetData>
  <x:mergeCells>
    <x:mergeCell ref="A1:F1"/>
  </x:mergeCells>
  <x:pageMargins left="0.7" right="0.7" top="0.75" bottom="0.75" header="0.3" footer="0.3"/>
  <x:drawing xmlns:r="http://schemas.openxmlformats.org/officeDocument/2006/relationships" r:id="R330a780de25b45de"/>
</x:worksheet>
</file>