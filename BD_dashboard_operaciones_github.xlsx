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ADME_GITHUB" sheetId="1" r:id="rId5"/>
    <sheet state="hidden" name="KPIs_HTML" sheetId="2" r:id="rId6"/>
    <sheet state="visible" name="LIMPIEZA_COBERTURA" sheetId="3" r:id="rId7"/>
    <sheet state="visible" name="LIMPIEZA_PRESUPUESTO" sheetId="4" r:id="rId8"/>
    <sheet state="visible" name="AULA911_CAMPUS" sheetId="5" r:id="rId9"/>
    <sheet state="visible" name="AULA911_TOP" sheetId="6" r:id="rId10"/>
    <sheet state="visible" name="RONDAS" sheetId="7" r:id="rId11"/>
    <sheet state="visible" name="PROYECTOS" sheetId="8" r:id="rId12"/>
    <sheet state="visible" name="MEJORAS_PROGRAMACION" sheetId="9" r:id="rId13"/>
    <sheet state="visible" name="MEJORAS_ESTADO" sheetId="10" r:id="rId14"/>
    <sheet state="visible" name="LISTO" sheetId="11" r:id="rId15"/>
    <sheet state="visible" name="CATALOGO_NOMBRES" sheetId="12" r:id="rId16"/>
    <sheet state="visible" name="RESUMEN" sheetId="13" r:id="rId17"/>
  </sheets>
  <definedNames/>
  <calcPr/>
</workbook>
</file>

<file path=xl/sharedStrings.xml><?xml version="1.0" encoding="utf-8"?>
<sst xmlns="http://schemas.openxmlformats.org/spreadsheetml/2006/main" count="913" uniqueCount="451">
  <si>
    <t>Base de datos · Dashboard Proyectos Operacionales</t>
  </si>
  <si>
    <t>Campo</t>
  </si>
  <si>
    <t>Detalle</t>
  </si>
  <si>
    <t>Archivo fuente</t>
  </si>
  <si>
    <t>dashboard_proyectos_operacionales.html</t>
  </si>
  <si>
    <t>Fecha de compilación</t>
  </si>
  <si>
    <t>Objetivo</t>
  </si>
  <si>
    <t>Usar este libro como fuente de datos versionable en GitHub y leerlo desde el HTML.</t>
  </si>
  <si>
    <t>Ruta sugerida en GitHub</t>
  </si>
  <si>
    <t>data/BD_dashboard_operaciones_github.xlsx</t>
  </si>
  <si>
    <t>Estructura sugerida</t>
  </si>
  <si>
    <t>index.html  +  data/BD_dashboard_operaciones_github.xlsx</t>
  </si>
  <si>
    <t>Lectura desde HTML</t>
  </si>
  <si>
    <t>Recomendado: usar SheetJS (xlsx.full.min.js) y fetch('data/BD_dashboard_operaciones_github.xlsx').</t>
  </si>
  <si>
    <t>Actualización</t>
  </si>
  <si>
    <t>Editar el Excel, guardar y reemplazar el archivo en el repositorio. El HTML debe calcular KPIs a partir de las hojas fuente.</t>
  </si>
  <si>
    <t>Importante</t>
  </si>
  <si>
    <t>Los nombres y valores se conservan según el HTML. No se han reconciliado aliases de sedes entre módulos.</t>
  </si>
  <si>
    <t>Observación Mejoras</t>
  </si>
  <si>
    <t>El HTML muestra 294 iniciativas por estado, pero la matriz mensual suma 267. Se conservan ambos datos sin corregirlos.</t>
  </si>
  <si>
    <t>modulo</t>
  </si>
  <si>
    <t>campus</t>
  </si>
  <si>
    <t>indicador</t>
  </si>
  <si>
    <t>valor</t>
  </si>
  <si>
    <t>periodo</t>
  </si>
  <si>
    <t>tiempo_acepta_min</t>
  </si>
  <si>
    <t>unidad</t>
  </si>
  <si>
    <t>zona</t>
  </si>
  <si>
    <t>concepto</t>
  </si>
  <si>
    <t>tiempo_atiende_min</t>
  </si>
  <si>
    <t>tiempo_total_min</t>
  </si>
  <si>
    <t>monto</t>
  </si>
  <si>
    <t>dot_m</t>
  </si>
  <si>
    <t>nota_fuente</t>
  </si>
  <si>
    <t>valoracion</t>
  </si>
  <si>
    <t>dot_t</t>
  </si>
  <si>
    <t>dot_n</t>
  </si>
  <si>
    <t>es_subsede</t>
  </si>
  <si>
    <t>cob_m</t>
  </si>
  <si>
    <t>2026-03</t>
  </si>
  <si>
    <t>Limpieza</t>
  </si>
  <si>
    <t>Campus Chimbote</t>
  </si>
  <si>
    <t>cob_t</t>
  </si>
  <si>
    <t>cob_n</t>
  </si>
  <si>
    <t>Descuentos faltas/tardanzas</t>
  </si>
  <si>
    <t>pend_m</t>
  </si>
  <si>
    <t>Cobertura semanal total</t>
  </si>
  <si>
    <t>pend_t</t>
  </si>
  <si>
    <t>Penalidades</t>
  </si>
  <si>
    <t>porcentaje</t>
  </si>
  <si>
    <t>2026-04</t>
  </si>
  <si>
    <t>pend_n</t>
  </si>
  <si>
    <t>Corte 24/08/2026</t>
  </si>
  <si>
    <t>pend_total</t>
  </si>
  <si>
    <t>cobertura_pct</t>
  </si>
  <si>
    <t>Dotación programada (turnos)</t>
  </si>
  <si>
    <t>2026-05</t>
  </si>
  <si>
    <t>LIMA</t>
  </si>
  <si>
    <t>entero</t>
  </si>
  <si>
    <t>EPG Salaverry_5</t>
  </si>
  <si>
    <t>2026-06</t>
  </si>
  <si>
    <t>Turnos cubiertos</t>
  </si>
  <si>
    <t>2026-07</t>
  </si>
  <si>
    <t>Turnos pendientes</t>
  </si>
  <si>
    <t>Almacén Central</t>
  </si>
  <si>
    <t>Presupuesto 2026</t>
  </si>
  <si>
    <t>moneda</t>
  </si>
  <si>
    <t>Jarrita</t>
  </si>
  <si>
    <t>Valor mostrado como S/ 18 M</t>
  </si>
  <si>
    <t>Presupuesto ejecutado</t>
  </si>
  <si>
    <t>Campus Iquitos</t>
  </si>
  <si>
    <t>Valor mostrado como S/ 8.8 M</t>
  </si>
  <si>
    <t>Oficinas Administrativas</t>
  </si>
  <si>
    <t>Nivel de ejecución</t>
  </si>
  <si>
    <t>Campus Trujillo</t>
  </si>
  <si>
    <t>Fuente HTML</t>
  </si>
  <si>
    <t>Descuentos + penalidades</t>
  </si>
  <si>
    <t>Campus Piura</t>
  </si>
  <si>
    <t>Aula 911</t>
  </si>
  <si>
    <t>PROVINCIA</t>
  </si>
  <si>
    <t>Arequipa II</t>
  </si>
  <si>
    <t># incidencias</t>
  </si>
  <si>
    <t>Corte 19/08/2026</t>
  </si>
  <si>
    <t>Campus Ate UTP</t>
  </si>
  <si>
    <t>Tiempo acepta solicitud</t>
  </si>
  <si>
    <t>minutos</t>
  </si>
  <si>
    <t>Campus Huancayo</t>
  </si>
  <si>
    <t>Tiempo atiende solicitud</t>
  </si>
  <si>
    <t>Campus Arequipa</t>
  </si>
  <si>
    <t>Tiempo total de atención</t>
  </si>
  <si>
    <t>Arequipa III</t>
  </si>
  <si>
    <t>tipo_incidencia</t>
  </si>
  <si>
    <t>participacion</t>
  </si>
  <si>
    <t>Valoración general</t>
  </si>
  <si>
    <t>Parra</t>
  </si>
  <si>
    <t>Problema con la PC</t>
  </si>
  <si>
    <t>escala 1-5</t>
  </si>
  <si>
    <t>Problema con el proyector</t>
  </si>
  <si>
    <t>Problema con el audio</t>
  </si>
  <si>
    <t>Tacna y Arica</t>
  </si>
  <si>
    <t>Rondas</t>
  </si>
  <si>
    <t>Problema con el Zoom</t>
  </si>
  <si>
    <t>Ambiente cerrado</t>
  </si>
  <si>
    <t>% cumplimiento</t>
  </si>
  <si>
    <t>Chimbote</t>
  </si>
  <si>
    <t>Parra 2</t>
  </si>
  <si>
    <t>Campus San Juan de Lurigancho</t>
  </si>
  <si>
    <t>Total programado</t>
  </si>
  <si>
    <t>Campus Lima</t>
  </si>
  <si>
    <t>Total ejecutado</t>
  </si>
  <si>
    <t>Piura</t>
  </si>
  <si>
    <t>Torre Petit Thouars</t>
  </si>
  <si>
    <t># checkpoints</t>
  </si>
  <si>
    <t>Proyectos</t>
  </si>
  <si>
    <t>Edificio Pacífico</t>
  </si>
  <si>
    <t>Ica</t>
  </si>
  <si>
    <t>En proceso</t>
  </si>
  <si>
    <t>Torre Arequipa</t>
  </si>
  <si>
    <t>Sede Central</t>
  </si>
  <si>
    <t>Pendientes</t>
  </si>
  <si>
    <t>Huancayo</t>
  </si>
  <si>
    <t>Mejoras</t>
  </si>
  <si>
    <t>Campus Chiclayo</t>
  </si>
  <si>
    <t>Ejecutado</t>
  </si>
  <si>
    <t>sede</t>
  </si>
  <si>
    <t>dispositivos_asignados</t>
  </si>
  <si>
    <t>27% del total de 294</t>
  </si>
  <si>
    <t>responsables</t>
  </si>
  <si>
    <t>Campus Ica</t>
  </si>
  <si>
    <t>Huánuco</t>
  </si>
  <si>
    <t>programado</t>
  </si>
  <si>
    <t>ejecutado</t>
  </si>
  <si>
    <t>cumplimiento_pct</t>
  </si>
  <si>
    <t>03. UTP SJL</t>
  </si>
  <si>
    <t>Campus Tacna</t>
  </si>
  <si>
    <t>04. UTP Ate</t>
  </si>
  <si>
    <t>Campus Pucallpa</t>
  </si>
  <si>
    <t>38% del total de 294</t>
  </si>
  <si>
    <t>Iquitos</t>
  </si>
  <si>
    <t>05. UTP Lima Sur</t>
  </si>
  <si>
    <t>Pendiente</t>
  </si>
  <si>
    <t>Campus Lima Norte UTP</t>
  </si>
  <si>
    <t>26% del total de 294</t>
  </si>
  <si>
    <t>06. UTP Arequipa</t>
  </si>
  <si>
    <t>Cancelado</t>
  </si>
  <si>
    <t>09. UTP Piura</t>
  </si>
  <si>
    <t>Pucallpa</t>
  </si>
  <si>
    <t>9% del total de 294</t>
  </si>
  <si>
    <t>10. UTP Chimbote</t>
  </si>
  <si>
    <t>Campus Lima Sur UTP</t>
  </si>
  <si>
    <t>Total iniciativas</t>
  </si>
  <si>
    <t>11. UTP Huancayo</t>
  </si>
  <si>
    <t>KPI general del HTML</t>
  </si>
  <si>
    <t>Total matriz mensual</t>
  </si>
  <si>
    <t>Suma de matriz mensual del HTML</t>
  </si>
  <si>
    <t>02. UTP Lima Norte</t>
  </si>
  <si>
    <t>Listo</t>
  </si>
  <si>
    <t>Chiclayo</t>
  </si>
  <si>
    <t>Registros</t>
  </si>
  <si>
    <t>07. UTP Chiclayo</t>
  </si>
  <si>
    <t>01. UTP Lima Centro</t>
  </si>
  <si>
    <t>Operativos</t>
  </si>
  <si>
    <t>01. UTP Lima Centro Sede Central</t>
  </si>
  <si>
    <t>Por implementar</t>
  </si>
  <si>
    <t>Lima Norte</t>
  </si>
  <si>
    <t>03. UTP Lima Centro Torre Petit Thouars</t>
  </si>
  <si>
    <t>04. UTP Lima Centro Torre Pacífico</t>
  </si>
  <si>
    <t>Arequipa I</t>
  </si>
  <si>
    <t>02. UTP Lima Centro Torre Arequipa</t>
  </si>
  <si>
    <t>15. UTP Tacna</t>
  </si>
  <si>
    <t>12. UTP Trujillo</t>
  </si>
  <si>
    <t>13. UTP Iquitos</t>
  </si>
  <si>
    <t>08. UTP Ica</t>
  </si>
  <si>
    <t>14. UTP Pucallpa</t>
  </si>
  <si>
    <t>Lima Sur</t>
  </si>
  <si>
    <t>Torre Nueva</t>
  </si>
  <si>
    <t>Trujillo</t>
  </si>
  <si>
    <t>Ate</t>
  </si>
  <si>
    <t>id_proyecto</t>
  </si>
  <si>
    <t>proyecto</t>
  </si>
  <si>
    <t>estado</t>
  </si>
  <si>
    <t>avance_obra_pct</t>
  </si>
  <si>
    <t>avance_compras_pct</t>
  </si>
  <si>
    <t>fecha_objetivo_texto</t>
  </si>
  <si>
    <t>con_observaciones</t>
  </si>
  <si>
    <t>nueva_fecha_texto</t>
  </si>
  <si>
    <t>P001</t>
  </si>
  <si>
    <t>Nuevo Edificio Campus Lima Norte (Salud) – ITSE 1/09</t>
  </si>
  <si>
    <t>SET 26</t>
  </si>
  <si>
    <t>No</t>
  </si>
  <si>
    <t>—</t>
  </si>
  <si>
    <t>P002</t>
  </si>
  <si>
    <t>Laboratorios Salud Campus Lima Norte – Etapa I – ITSE 19/08</t>
  </si>
  <si>
    <t>Sí</t>
  </si>
  <si>
    <t>P003</t>
  </si>
  <si>
    <t>Laboratorios de Técnicas Dietéticas y Terapia (Iquitos – Pucallpa)</t>
  </si>
  <si>
    <t>mar</t>
  </si>
  <si>
    <t>abr</t>
  </si>
  <si>
    <t>P004</t>
  </si>
  <si>
    <t>Nuevo Campus Huánuco – ITSE 31/08</t>
  </si>
  <si>
    <t>may</t>
  </si>
  <si>
    <t>jun</t>
  </si>
  <si>
    <t>ago</t>
  </si>
  <si>
    <t>set</t>
  </si>
  <si>
    <t>P005</t>
  </si>
  <si>
    <t>oct</t>
  </si>
  <si>
    <t>Nuevo Campus Huamanga – ITSE 22/09</t>
  </si>
  <si>
    <t>nov</t>
  </si>
  <si>
    <t>total</t>
  </si>
  <si>
    <t>Corporativo - Natalio</t>
  </si>
  <si>
    <t>P006</t>
  </si>
  <si>
    <t>Nuevo Campus Juliaca – ITSE 18/10</t>
  </si>
  <si>
    <t>UTP Arequipa</t>
  </si>
  <si>
    <t>UTP Chiclayo</t>
  </si>
  <si>
    <t>cantidad</t>
  </si>
  <si>
    <t>UTP Chimbote</t>
  </si>
  <si>
    <t>UTP Huancayo</t>
  </si>
  <si>
    <t>UTP Ica</t>
  </si>
  <si>
    <t>SJL I</t>
  </si>
  <si>
    <t>UTP Iquitos</t>
  </si>
  <si>
    <t>UTP Lima Centro</t>
  </si>
  <si>
    <t>SJL II</t>
  </si>
  <si>
    <t>UTP Lima Este</t>
  </si>
  <si>
    <t>UTP Lima Norte</t>
  </si>
  <si>
    <t>Torre II</t>
  </si>
  <si>
    <t>UTP Lima Sur</t>
  </si>
  <si>
    <t>José Díaz</t>
  </si>
  <si>
    <t>UTP Piura</t>
  </si>
  <si>
    <t>id_registro</t>
  </si>
  <si>
    <t>diseno_pct</t>
  </si>
  <si>
    <t>obra_pct</t>
  </si>
  <si>
    <t>operacion</t>
  </si>
  <si>
    <t>UTP Pucallpa</t>
  </si>
  <si>
    <t>con_observacion</t>
  </si>
  <si>
    <t>Tacna</t>
  </si>
  <si>
    <t>L001</t>
  </si>
  <si>
    <t>LC – Torre Tecnológica Arequipa (I)</t>
  </si>
  <si>
    <t>Mar-26</t>
  </si>
  <si>
    <t>L002</t>
  </si>
  <si>
    <t>LC – Sede Central (I)</t>
  </si>
  <si>
    <t>UTP SJL</t>
  </si>
  <si>
    <t>OCT 26</t>
  </si>
  <si>
    <t>Pacífico</t>
  </si>
  <si>
    <t>6/04/2026</t>
  </si>
  <si>
    <t>L003</t>
  </si>
  <si>
    <t>LC – Torre II (I)</t>
  </si>
  <si>
    <t>P007</t>
  </si>
  <si>
    <t>L004</t>
  </si>
  <si>
    <t>LS – Piso 1 (I)</t>
  </si>
  <si>
    <t>Nuevos Laboratorios de Hotelería y Turismo – Lima Centro</t>
  </si>
  <si>
    <t>UTP Tacna</t>
  </si>
  <si>
    <t>ENE 27</t>
  </si>
  <si>
    <t>L005</t>
  </si>
  <si>
    <t>Arequipa Postgrado</t>
  </si>
  <si>
    <t>LS – Piso 10 (I)</t>
  </si>
  <si>
    <t>P008</t>
  </si>
  <si>
    <t>Nuevos Laboratorios de Odontología – Lima Centro (Jarrita)</t>
  </si>
  <si>
    <t>L006</t>
  </si>
  <si>
    <t>Ica (I)</t>
  </si>
  <si>
    <t>UTP Trujillo</t>
  </si>
  <si>
    <t>MAR 27</t>
  </si>
  <si>
    <t>L007</t>
  </si>
  <si>
    <t>P009</t>
  </si>
  <si>
    <t>Arequipa – Tacna y Arica (I)</t>
  </si>
  <si>
    <t>Nuevo Campus Cusco</t>
  </si>
  <si>
    <t>L008</t>
  </si>
  <si>
    <t>UTP EPG Salaverry</t>
  </si>
  <si>
    <t>LC – Pacífico (II)</t>
  </si>
  <si>
    <t>JUL 27</t>
  </si>
  <si>
    <t>13/04/2026</t>
  </si>
  <si>
    <t>L009</t>
  </si>
  <si>
    <t>SJL (II)</t>
  </si>
  <si>
    <t>P010</t>
  </si>
  <si>
    <t>Ampliación Campus Huancayo</t>
  </si>
  <si>
    <t>30/03/2026</t>
  </si>
  <si>
    <t>L010</t>
  </si>
  <si>
    <t>Arequipa – Parra 2 (II)</t>
  </si>
  <si>
    <t>AGO 27</t>
  </si>
  <si>
    <t>L011</t>
  </si>
  <si>
    <t>P011</t>
  </si>
  <si>
    <t>Trujillo (III)</t>
  </si>
  <si>
    <t>Ampliación Campus Piura</t>
  </si>
  <si>
    <t>15/06</t>
  </si>
  <si>
    <t>L012</t>
  </si>
  <si>
    <t>Arequipa - Parra 1 (III)</t>
  </si>
  <si>
    <t>P012</t>
  </si>
  <si>
    <t>Remodelación de Saco Oliveros</t>
  </si>
  <si>
    <t>P013</t>
  </si>
  <si>
    <t>Clínica Odontológica – Guzmán Blanco</t>
  </si>
  <si>
    <t>P014</t>
  </si>
  <si>
    <t>L013</t>
  </si>
  <si>
    <t>Idat Campus SJL</t>
  </si>
  <si>
    <t>Lima Norte (III)</t>
  </si>
  <si>
    <t>Oct-26</t>
  </si>
  <si>
    <t>P015</t>
  </si>
  <si>
    <t>Idat Campus SJM</t>
  </si>
  <si>
    <t>L014</t>
  </si>
  <si>
    <t>Chiclayo (III)</t>
  </si>
  <si>
    <t>P016</t>
  </si>
  <si>
    <t>Set-26</t>
  </si>
  <si>
    <t>Idat Chiclayo</t>
  </si>
  <si>
    <t>L015</t>
  </si>
  <si>
    <t>ATE (III)</t>
  </si>
  <si>
    <t>P017</t>
  </si>
  <si>
    <t>Medicina Ica</t>
  </si>
  <si>
    <t>L016</t>
  </si>
  <si>
    <t>Pucallpa (III)</t>
  </si>
  <si>
    <t>P018</t>
  </si>
  <si>
    <t>L017</t>
  </si>
  <si>
    <t>Iquitos (III)</t>
  </si>
  <si>
    <t>Medicina Trujillo</t>
  </si>
  <si>
    <t>P019</t>
  </si>
  <si>
    <t>L018</t>
  </si>
  <si>
    <t>Chimbote (III)</t>
  </si>
  <si>
    <t>Medicina Piura</t>
  </si>
  <si>
    <t>Nov-26</t>
  </si>
  <si>
    <t>L019</t>
  </si>
  <si>
    <t>Resto de campus (III)</t>
  </si>
  <si>
    <t>id_origen</t>
  </si>
  <si>
    <t>nombre_sede_origen</t>
  </si>
  <si>
    <t>SRC001</t>
  </si>
  <si>
    <t>LIMPIEZA_COBERTURA</t>
  </si>
  <si>
    <t>EPG Salaverry</t>
  </si>
  <si>
    <t>SRC002</t>
  </si>
  <si>
    <t>SRC003</t>
  </si>
  <si>
    <t>SRC004</t>
  </si>
  <si>
    <t>SRC005</t>
  </si>
  <si>
    <t>SRC006</t>
  </si>
  <si>
    <t>SRC007</t>
  </si>
  <si>
    <t>SRC008</t>
  </si>
  <si>
    <t>SRC009</t>
  </si>
  <si>
    <t>SRC010</t>
  </si>
  <si>
    <t>SRC011</t>
  </si>
  <si>
    <t>SRC012</t>
  </si>
  <si>
    <t>SRC013</t>
  </si>
  <si>
    <t>SRC014</t>
  </si>
  <si>
    <t>SRC015</t>
  </si>
  <si>
    <t>SRC016</t>
  </si>
  <si>
    <t>SRC017</t>
  </si>
  <si>
    <t>SRC018</t>
  </si>
  <si>
    <t>SRC019</t>
  </si>
  <si>
    <t>SRC020</t>
  </si>
  <si>
    <t>SRC021</t>
  </si>
  <si>
    <t>SRC022</t>
  </si>
  <si>
    <t>SRC023</t>
  </si>
  <si>
    <t>SRC024</t>
  </si>
  <si>
    <t>SRC025</t>
  </si>
  <si>
    <t>SRC026</t>
  </si>
  <si>
    <t>SRC027</t>
  </si>
  <si>
    <t>SRC028</t>
  </si>
  <si>
    <t>SRC029</t>
  </si>
  <si>
    <t>AULA911_CAMPUS</t>
  </si>
  <si>
    <t>SRC030</t>
  </si>
  <si>
    <t>SRC031</t>
  </si>
  <si>
    <t>SRC032</t>
  </si>
  <si>
    <t>SRC033</t>
  </si>
  <si>
    <t>SRC034</t>
  </si>
  <si>
    <t>SRC035</t>
  </si>
  <si>
    <t>SRC036</t>
  </si>
  <si>
    <t>SRC037</t>
  </si>
  <si>
    <t>SRC038</t>
  </si>
  <si>
    <t>SRC039</t>
  </si>
  <si>
    <t>SRC040</t>
  </si>
  <si>
    <t>SRC041</t>
  </si>
  <si>
    <t>SRC042</t>
  </si>
  <si>
    <t>SRC043</t>
  </si>
  <si>
    <t>SRC044</t>
  </si>
  <si>
    <t>SRC045</t>
  </si>
  <si>
    <t>Resumen de control de la base para GitHub</t>
  </si>
  <si>
    <t>SRC046</t>
  </si>
  <si>
    <t>Indicador</t>
  </si>
  <si>
    <t>Valor calculado</t>
  </si>
  <si>
    <t>Referencia HTML</t>
  </si>
  <si>
    <t>SRC047</t>
  </si>
  <si>
    <t>Estado</t>
  </si>
  <si>
    <t>Cantidad</t>
  </si>
  <si>
    <t>Proyectos totales</t>
  </si>
  <si>
    <t>SRC048</t>
  </si>
  <si>
    <t>SRC049</t>
  </si>
  <si>
    <t>SRC050</t>
  </si>
  <si>
    <t>SRC051</t>
  </si>
  <si>
    <t>RONDAS</t>
  </si>
  <si>
    <t>SRC052</t>
  </si>
  <si>
    <t>Proyectos en proceso</t>
  </si>
  <si>
    <t>SRC053</t>
  </si>
  <si>
    <t>Proyectos pendientes</t>
  </si>
  <si>
    <t>Listo registros</t>
  </si>
  <si>
    <t>SRC054</t>
  </si>
  <si>
    <t>SRC055</t>
  </si>
  <si>
    <t>Listo operativos</t>
  </si>
  <si>
    <t>SRC056</t>
  </si>
  <si>
    <t>Mejoras matriz mensual</t>
  </si>
  <si>
    <t>SRC057</t>
  </si>
  <si>
    <t>Control de discrepancias</t>
  </si>
  <si>
    <t>Valor</t>
  </si>
  <si>
    <t>Nota</t>
  </si>
  <si>
    <t>SRC058</t>
  </si>
  <si>
    <t>SRC059</t>
  </si>
  <si>
    <t>Mejoras total por estado</t>
  </si>
  <si>
    <t>SRC060</t>
  </si>
  <si>
    <t>Mejoras total matriz mensual</t>
  </si>
  <si>
    <t>Matriz mensual del HTML</t>
  </si>
  <si>
    <t>Diferencia</t>
  </si>
  <si>
    <t>Conservar hasta validar con la fuente original</t>
  </si>
  <si>
    <t>SRC061</t>
  </si>
  <si>
    <t>SRC062</t>
  </si>
  <si>
    <t>SRC063</t>
  </si>
  <si>
    <t>SRC064</t>
  </si>
  <si>
    <t>SRC065</t>
  </si>
  <si>
    <t>SRC066</t>
  </si>
  <si>
    <t>SRC067</t>
  </si>
  <si>
    <t>SRC068</t>
  </si>
  <si>
    <t>SRC069</t>
  </si>
  <si>
    <t>SRC070</t>
  </si>
  <si>
    <t>MEJORAS_PROGRAMACION</t>
  </si>
  <si>
    <t>SRC071</t>
  </si>
  <si>
    <t>SRC072</t>
  </si>
  <si>
    <t>SRC073</t>
  </si>
  <si>
    <t>SRC074</t>
  </si>
  <si>
    <t>SRC075</t>
  </si>
  <si>
    <t>SRC076</t>
  </si>
  <si>
    <t>SRC077</t>
  </si>
  <si>
    <t>SRC078</t>
  </si>
  <si>
    <t>SRC079</t>
  </si>
  <si>
    <t>SRC080</t>
  </si>
  <si>
    <t>SRC081</t>
  </si>
  <si>
    <t>SRC082</t>
  </si>
  <si>
    <t>SRC083</t>
  </si>
  <si>
    <t>SRC084</t>
  </si>
  <si>
    <t>SRC085</t>
  </si>
  <si>
    <t>SRC086</t>
  </si>
  <si>
    <t>SRC087</t>
  </si>
  <si>
    <t>LISTO</t>
  </si>
  <si>
    <t>SRC088</t>
  </si>
  <si>
    <t>SRC089</t>
  </si>
  <si>
    <t>SRC090</t>
  </si>
  <si>
    <t>SRC091</t>
  </si>
  <si>
    <t>SRC092</t>
  </si>
  <si>
    <t>SRC093</t>
  </si>
  <si>
    <t>SRC094</t>
  </si>
  <si>
    <t>SRC095</t>
  </si>
  <si>
    <t>SRC096</t>
  </si>
  <si>
    <t>SRC097</t>
  </si>
  <si>
    <t>SRC098</t>
  </si>
  <si>
    <t>SRC099</t>
  </si>
  <si>
    <t>SRC100</t>
  </si>
  <si>
    <t>SRC101</t>
  </si>
  <si>
    <t>SRC102</t>
  </si>
  <si>
    <t>SRC103</t>
  </si>
  <si>
    <t>SRC104</t>
  </si>
  <si>
    <t>SRC105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</si>
</sst>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&quot;S/ &quot; #,##0"/>
    <numFmt numFmtId="166" formatCode="0.0%"/>
  </numFmts>
  <fonts count="9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1.0"/>
      <color rgb="FF1C1C1A"/>
      <name val="Carlito"/>
    </font>
    <font>
      <sz val="11.0"/>
      <color theme="1"/>
      <name val="Carlito"/>
    </font>
    <font>
      <b/>
      <sz val="11.0"/>
      <color rgb="FFFFFFFF"/>
      <name val="Carlito"/>
    </font>
    <font>
      <b/>
      <sz val="15.0"/>
      <color rgb="FFFFFFFF"/>
      <name val="Carlito"/>
    </font>
    <font>
      <b/>
      <sz val="11.0"/>
      <color theme="1"/>
      <name val="Carlito"/>
    </font>
    <font>
      <color theme="1"/>
      <name val="Carlito"/>
      <scheme val="minor"/>
    </font>
    <font>
      <b/>
      <sz val="11.0"/>
      <color rgb="FF9C1014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C8161C"/>
        <bgColor rgb="FFC8161C"/>
      </patternFill>
    </fill>
    <fill>
      <patternFill patternType="solid">
        <fgColor rgb="FFF6F5F3"/>
        <bgColor rgb="FFF6F5F3"/>
      </patternFill>
    </fill>
    <fill>
      <patternFill patternType="solid">
        <fgColor rgb="FFFBE9E8"/>
        <bgColor rgb="FFFBE9E8"/>
      </patternFill>
    </fill>
  </fills>
  <borders count="2">
    <border/>
    <border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2" numFmtId="0" xfId="0" applyFill="1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shrinkToFit="0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2" xfId="0" applyAlignment="1" applyFont="1" applyNumberFormat="1">
      <alignment shrinkToFit="0" vertical="center" wrapText="1"/>
    </xf>
    <xf borderId="0" fillId="0" fontId="3" numFmtId="165" xfId="0" applyAlignment="1" applyFont="1" applyNumberForma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6" xfId="0" applyAlignment="1" applyFont="1" applyNumberFormat="1">
      <alignment shrinkToFit="0" vertical="center" wrapText="1"/>
    </xf>
    <xf borderId="0" fillId="2" fontId="5" numFmtId="0" xfId="0" applyFill="1" applyFont="1"/>
    <xf borderId="0" fillId="3" fontId="6" numFmtId="0" xfId="0" applyFill="1" applyFont="1"/>
    <xf borderId="0" fillId="0" fontId="7" numFmtId="0" xfId="0" applyFont="1"/>
    <xf borderId="0" fillId="4" fontId="8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1">
    <tableStyle count="4" pivot="0" name="KPIs_HTM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LA911_CAMPU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MPIEZA_PRESUPUES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MPIEZA_COBERTU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LA911_TO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ND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YEC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JORAS_PROGRAMAC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JORAS_ESTA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ALOGO_NOMBR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Proyectos por estado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Cantidad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RESUMEN!$E$4:$E$5</c:f>
            </c:strRef>
          </c:cat>
          <c:val>
            <c:numRef>
              <c:f>RESUMEN!$F$4:$F$5</c:f>
              <c:numCache/>
            </c:numRef>
          </c:val>
        </c:ser>
        <c:axId val="1299828593"/>
        <c:axId val="28166931"/>
      </c:barChart>
      <c:catAx>
        <c:axId val="1299828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166931"/>
      </c:catAx>
      <c:valAx>
        <c:axId val="281669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9828593"/>
      </c:valAx>
    </c:plotArea>
    <c:plotVisOnly val="1"/>
  </c:chart>
</c:chartSpace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6</xdr:row>
      <xdr:rowOff>0</xdr:rowOff>
    </xdr:from>
    <xdr:ext cx="4600575" cy="28003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0" displayName="TblKPIsHTML" name="TblKPIsHTML" id="3">
  <tableColumns count="5">
    <tableColumn name="modulo" id="1"/>
    <tableColumn name="indicador" id="2"/>
    <tableColumn name="valor" id="3"/>
    <tableColumn name="unidad" id="4"/>
    <tableColumn name="nota_fuente" id="5"/>
  </tableColumns>
  <tableStyleInfo name="KPIs_HTML-style" showColumnStripes="0" showFirstColumn="1" showLastColumn="1" showRowStripes="1"/>
</table>
</file>

<file path=xl/tables/table2.xml><?xml version="1.0" encoding="utf-8"?>
<table xmlns="http://schemas.openxmlformats.org/spreadsheetml/2006/main" ref="A1:M29" displayName="TblCobertura" name="TblCobertura" id="1">
  <tableColumns count="13">
    <tableColumn name="zona" id="1"/>
    <tableColumn name="campus" id="2"/>
    <tableColumn name="dot_m" id="3"/>
    <tableColumn name="dot_t" id="4"/>
    <tableColumn name="dot_n" id="5"/>
    <tableColumn name="cob_m" id="6"/>
    <tableColumn name="cob_t" id="7"/>
    <tableColumn name="cob_n" id="8"/>
    <tableColumn name="pend_m" id="9"/>
    <tableColumn name="pend_t" id="10"/>
    <tableColumn name="pend_n" id="11"/>
    <tableColumn name="pend_total" id="12"/>
    <tableColumn name="cobertura_pct" id="13"/>
  </tableColumns>
  <tableStyleInfo name="LIMPIEZA_COBERTURA-style" showColumnStripes="0" showFirstColumn="1" showLastColumn="1" showRowStripes="1"/>
</table>
</file>

<file path=xl/tables/table3.xml><?xml version="1.0" encoding="utf-8"?>
<table xmlns="http://schemas.openxmlformats.org/spreadsheetml/2006/main" ref="A1:C11" displayName="TblPresupuestoDetalle" name="TblPresupuestoDetalle" id="2">
  <tableColumns count="3">
    <tableColumn name="periodo" id="1"/>
    <tableColumn name="concepto" id="2"/>
    <tableColumn name="monto" id="3"/>
  </tableColumns>
  <tableStyleInfo name="LIMPIEZA_PRESUPUESTO-style" showColumnStripes="0" showFirstColumn="1" showLastColumn="1" showRowStripes="1"/>
</table>
</file>

<file path=xl/tables/table4.xml><?xml version="1.0" encoding="utf-8"?>
<table xmlns="http://schemas.openxmlformats.org/spreadsheetml/2006/main" ref="A1:F23" displayName="TblAula911Campus" name="TblAula911Campus" id="4">
  <tableColumns count="6">
    <tableColumn name="campus" id="1"/>
    <tableColumn name="tiempo_acepta_min" id="2"/>
    <tableColumn name="tiempo_atiende_min" id="3"/>
    <tableColumn name="tiempo_total_min" id="4"/>
    <tableColumn name="valoracion" id="5"/>
    <tableColumn name="es_subsede" id="6"/>
  </tableColumns>
  <tableStyleInfo name="AULA911_CAMPUS-style" showColumnStripes="0" showFirstColumn="1" showLastColumn="1" showRowStripes="1"/>
</table>
</file>

<file path=xl/tables/table5.xml><?xml version="1.0" encoding="utf-8"?>
<table xmlns="http://schemas.openxmlformats.org/spreadsheetml/2006/main" ref="A1:B6" displayName="TblAula911Top" name="TblAula911Top" id="5">
  <tableColumns count="2">
    <tableColumn name="tipo_incidencia" id="1"/>
    <tableColumn name="participacion" id="2"/>
  </tableColumns>
  <tableStyleInfo name="AULA911_TOP-style" showColumnStripes="0" showFirstColumn="1" showLastColumn="1" showRowStripes="1"/>
</table>
</file>

<file path=xl/tables/table6.xml><?xml version="1.0" encoding="utf-8"?>
<table xmlns="http://schemas.openxmlformats.org/spreadsheetml/2006/main" ref="A1:G20" displayName="TblRondas" name="TblRondas" id="6">
  <tableColumns count="7">
    <tableColumn name="sede" id="1"/>
    <tableColumn name="dispositivos_asignados" id="2"/>
    <tableColumn name="responsables" id="3"/>
    <tableColumn name="programado" id="4"/>
    <tableColumn name="ejecutado" id="5"/>
    <tableColumn name="cumplimiento_pct" id="6"/>
    <tableColumn name="es_subsede" id="7"/>
  </tableColumns>
  <tableStyleInfo name="RONDAS-style" showColumnStripes="0" showFirstColumn="1" showLastColumn="1" showRowStripes="1"/>
</table>
</file>

<file path=xl/tables/table7.xml><?xml version="1.0" encoding="utf-8"?>
<table xmlns="http://schemas.openxmlformats.org/spreadsheetml/2006/main" ref="A1:H20" displayName="TblProyectos" name="TblProyectos" id="7">
  <tableColumns count="8">
    <tableColumn name="id_proyecto" id="1"/>
    <tableColumn name="proyecto" id="2"/>
    <tableColumn name="estado" id="3"/>
    <tableColumn name="avance_obra_pct" id="4"/>
    <tableColumn name="avance_compras_pct" id="5"/>
    <tableColumn name="fecha_objetivo_texto" id="6"/>
    <tableColumn name="con_observaciones" id="7"/>
    <tableColumn name="nueva_fecha_texto" id="8"/>
  </tableColumns>
  <tableStyleInfo name="PROYECTOS-style" showColumnStripes="0" showFirstColumn="1" showLastColumn="1" showRowStripes="1"/>
</table>
</file>

<file path=xl/tables/table8.xml><?xml version="1.0" encoding="utf-8"?>
<table xmlns="http://schemas.openxmlformats.org/spreadsheetml/2006/main" ref="A1:J18" displayName="TblMejorasProgramacion" name="TblMejorasProgramacion" id="8">
  <tableColumns count="10">
    <tableColumn name="campus" id="1"/>
    <tableColumn name="mar" id="2"/>
    <tableColumn name="abr" id="3"/>
    <tableColumn name="may" id="4"/>
    <tableColumn name="jun" id="5"/>
    <tableColumn name="ago" id="6"/>
    <tableColumn name="set" id="7"/>
    <tableColumn name="oct" id="8"/>
    <tableColumn name="nov" id="9"/>
    <tableColumn name="total" id="10"/>
  </tableColumns>
  <tableStyleInfo name="MEJORAS_PROGRAMACION-style" showColumnStripes="0" showFirstColumn="1" showLastColumn="1" showRowStripes="1"/>
</table>
</file>

<file path=xl/tables/table9.xml><?xml version="1.0" encoding="utf-8"?>
<table xmlns="http://schemas.openxmlformats.org/spreadsheetml/2006/main" ref="A1:C5" displayName="TblMejorasEstado" name="TblMejorasEstado" id="9">
  <tableColumns count="3">
    <tableColumn name="estado" id="1"/>
    <tableColumn name="cantidad" id="2"/>
    <tableColumn name="participacion" id="3"/>
  </tableColumns>
  <tableStyleInfo name="MEJORAS_ESTADO-style" showColumnStripes="0" showFirstColumn="1" showLastColumn="1" showRowStripes="1"/>
</table>
</file>

<file path=xl/tables/table10.xml><?xml version="1.0" encoding="utf-8"?>
<table xmlns="http://schemas.openxmlformats.org/spreadsheetml/2006/main" ref="A1:H20" displayName="TblListo" name="TblListo" id="10">
  <tableColumns count="8">
    <tableColumn name="id_registro" id="1"/>
    <tableColumn name="campus" id="2"/>
    <tableColumn name="diseno_pct" id="3"/>
    <tableColumn name="obra_pct" id="4"/>
    <tableColumn name="operacion" id="5"/>
    <tableColumn name="fecha_objetivo_texto" id="6"/>
    <tableColumn name="con_observacion" id="7"/>
    <tableColumn name="nueva_fecha_texto" id="8"/>
  </tableColumns>
  <tableStyleInfo name="LISTO-style" showColumnStripes="0" showFirstColumn="1" showLastColumn="1" showRowStripes="1"/>
</table>
</file>

<file path=xl/tables/table11.xml><?xml version="1.0" encoding="utf-8"?>
<table xmlns="http://schemas.openxmlformats.org/spreadsheetml/2006/main" ref="A1:C106" displayName="TblCatalogoNombres" name="TblCatalogoNombres" id="11">
  <tableColumns count="3">
    <tableColumn name="id_origen" id="1"/>
    <tableColumn name="modulo" id="2"/>
    <tableColumn name="nombre_sede_origen" id="3"/>
  </tableColumns>
  <tableStyleInfo name="CATALOGO_NOMB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85.0"/>
    <col customWidth="1" min="3" max="26" width="8.63"/>
  </cols>
  <sheetData>
    <row r="1" ht="33.75" customHeight="1">
      <c r="A1" s="1" t="s">
        <v>0</v>
      </c>
    </row>
    <row r="3">
      <c r="A3" s="2" t="s">
        <v>1</v>
      </c>
      <c r="B3" s="2" t="s">
        <v>2</v>
      </c>
    </row>
    <row r="4">
      <c r="A4" s="3" t="s">
        <v>3</v>
      </c>
      <c r="B4" s="4" t="s">
        <v>4</v>
      </c>
    </row>
    <row r="5">
      <c r="A5" s="3" t="s">
        <v>5</v>
      </c>
      <c r="B5" s="5">
        <v>46282.0</v>
      </c>
    </row>
    <row r="6">
      <c r="A6" s="3" t="s">
        <v>6</v>
      </c>
      <c r="B6" s="4" t="s">
        <v>7</v>
      </c>
    </row>
    <row r="7">
      <c r="A7" s="3" t="s">
        <v>8</v>
      </c>
      <c r="B7" s="4" t="s">
        <v>9</v>
      </c>
    </row>
    <row r="8">
      <c r="A8" s="3" t="s">
        <v>10</v>
      </c>
      <c r="B8" s="4" t="s">
        <v>11</v>
      </c>
    </row>
    <row r="9">
      <c r="A9" s="3" t="s">
        <v>12</v>
      </c>
      <c r="B9" s="4" t="s">
        <v>13</v>
      </c>
    </row>
    <row r="10">
      <c r="A10" s="3" t="s">
        <v>14</v>
      </c>
      <c r="B10" s="4" t="s">
        <v>15</v>
      </c>
    </row>
    <row r="11">
      <c r="A11" s="3" t="s">
        <v>16</v>
      </c>
      <c r="B11" s="4" t="s">
        <v>17</v>
      </c>
    </row>
    <row r="12">
      <c r="A12" s="3" t="s">
        <v>18</v>
      </c>
      <c r="B12" s="4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34.0"/>
    <col customWidth="1" min="3" max="4" width="18.0"/>
    <col customWidth="1" min="5" max="5" width="34.0"/>
    <col customWidth="1" min="6" max="26" width="8.63"/>
  </cols>
  <sheetData>
    <row r="1" ht="30.0" customHeight="1">
      <c r="A1" s="6" t="s">
        <v>20</v>
      </c>
      <c r="B1" s="6" t="s">
        <v>22</v>
      </c>
      <c r="C1" s="6" t="s">
        <v>23</v>
      </c>
      <c r="D1" s="6" t="s">
        <v>26</v>
      </c>
      <c r="E1" s="6" t="s">
        <v>33</v>
      </c>
    </row>
    <row r="2">
      <c r="A2" s="7" t="s">
        <v>40</v>
      </c>
      <c r="B2" s="7" t="s">
        <v>46</v>
      </c>
      <c r="C2" s="8">
        <v>0.94</v>
      </c>
      <c r="D2" s="7" t="s">
        <v>49</v>
      </c>
      <c r="E2" s="7" t="s">
        <v>52</v>
      </c>
    </row>
    <row r="3">
      <c r="A3" s="7" t="s">
        <v>40</v>
      </c>
      <c r="B3" s="7" t="s">
        <v>55</v>
      </c>
      <c r="C3" s="8">
        <v>597.0</v>
      </c>
      <c r="D3" s="7" t="s">
        <v>58</v>
      </c>
      <c r="E3" s="7" t="s">
        <v>52</v>
      </c>
    </row>
    <row r="4">
      <c r="A4" s="7" t="s">
        <v>40</v>
      </c>
      <c r="B4" s="7" t="s">
        <v>61</v>
      </c>
      <c r="C4" s="8">
        <v>566.0</v>
      </c>
      <c r="D4" s="7" t="s">
        <v>58</v>
      </c>
      <c r="E4" s="7" t="s">
        <v>52</v>
      </c>
    </row>
    <row r="5">
      <c r="A5" s="7" t="s">
        <v>40</v>
      </c>
      <c r="B5" s="7" t="s">
        <v>63</v>
      </c>
      <c r="C5" s="8">
        <v>31.0</v>
      </c>
      <c r="D5" s="7" t="s">
        <v>58</v>
      </c>
      <c r="E5" s="7" t="s">
        <v>52</v>
      </c>
    </row>
    <row r="6">
      <c r="A6" s="7" t="s">
        <v>40</v>
      </c>
      <c r="B6" s="7" t="s">
        <v>65</v>
      </c>
      <c r="C6" s="8">
        <v>1.8E7</v>
      </c>
      <c r="D6" s="7" t="s">
        <v>66</v>
      </c>
      <c r="E6" s="7" t="s">
        <v>68</v>
      </c>
    </row>
    <row r="7">
      <c r="A7" s="7" t="s">
        <v>40</v>
      </c>
      <c r="B7" s="7" t="s">
        <v>69</v>
      </c>
      <c r="C7" s="8">
        <v>8800000.0</v>
      </c>
      <c r="D7" s="7" t="s">
        <v>66</v>
      </c>
      <c r="E7" s="7" t="s">
        <v>71</v>
      </c>
    </row>
    <row r="8">
      <c r="A8" s="7" t="s">
        <v>40</v>
      </c>
      <c r="B8" s="7" t="s">
        <v>73</v>
      </c>
      <c r="C8" s="8">
        <v>0.489</v>
      </c>
      <c r="D8" s="7" t="s">
        <v>49</v>
      </c>
      <c r="E8" s="7" t="s">
        <v>75</v>
      </c>
    </row>
    <row r="9">
      <c r="A9" s="7" t="s">
        <v>40</v>
      </c>
      <c r="B9" s="7" t="s">
        <v>76</v>
      </c>
      <c r="C9" s="8">
        <v>414236.0</v>
      </c>
      <c r="D9" s="7" t="s">
        <v>66</v>
      </c>
      <c r="E9" s="7" t="s">
        <v>75</v>
      </c>
    </row>
    <row r="10">
      <c r="A10" s="7" t="s">
        <v>78</v>
      </c>
      <c r="B10" s="7" t="s">
        <v>81</v>
      </c>
      <c r="C10" s="8">
        <v>10548.0</v>
      </c>
      <c r="D10" s="7" t="s">
        <v>58</v>
      </c>
      <c r="E10" s="7" t="s">
        <v>82</v>
      </c>
    </row>
    <row r="11">
      <c r="A11" s="7" t="s">
        <v>78</v>
      </c>
      <c r="B11" s="7" t="s">
        <v>84</v>
      </c>
      <c r="C11" s="8">
        <v>4.3</v>
      </c>
      <c r="D11" s="7" t="s">
        <v>85</v>
      </c>
      <c r="E11" s="7" t="s">
        <v>82</v>
      </c>
    </row>
    <row r="12">
      <c r="A12" s="7" t="s">
        <v>78</v>
      </c>
      <c r="B12" s="7" t="s">
        <v>87</v>
      </c>
      <c r="C12" s="8">
        <v>4.8</v>
      </c>
      <c r="D12" s="7" t="s">
        <v>85</v>
      </c>
      <c r="E12" s="7" t="s">
        <v>82</v>
      </c>
    </row>
    <row r="13">
      <c r="A13" s="7" t="s">
        <v>78</v>
      </c>
      <c r="B13" s="7" t="s">
        <v>89</v>
      </c>
      <c r="C13" s="8">
        <v>9.2</v>
      </c>
      <c r="D13" s="7" t="s">
        <v>85</v>
      </c>
      <c r="E13" s="7" t="s">
        <v>82</v>
      </c>
    </row>
    <row r="14">
      <c r="A14" s="7" t="s">
        <v>78</v>
      </c>
      <c r="B14" s="7" t="s">
        <v>93</v>
      </c>
      <c r="C14" s="8">
        <v>4.6</v>
      </c>
      <c r="D14" s="7" t="s">
        <v>96</v>
      </c>
      <c r="E14" s="7" t="s">
        <v>75</v>
      </c>
    </row>
    <row r="15">
      <c r="A15" s="7" t="s">
        <v>100</v>
      </c>
      <c r="B15" s="7" t="s">
        <v>103</v>
      </c>
      <c r="C15" s="8">
        <v>0.94</v>
      </c>
      <c r="D15" s="7" t="s">
        <v>49</v>
      </c>
      <c r="E15" s="7" t="s">
        <v>82</v>
      </c>
    </row>
    <row r="16">
      <c r="A16" s="7" t="s">
        <v>100</v>
      </c>
      <c r="B16" s="7" t="s">
        <v>107</v>
      </c>
      <c r="C16" s="8">
        <v>6470.0</v>
      </c>
      <c r="D16" s="7" t="s">
        <v>58</v>
      </c>
      <c r="E16" s="7" t="s">
        <v>82</v>
      </c>
    </row>
    <row r="17">
      <c r="A17" s="7" t="s">
        <v>100</v>
      </c>
      <c r="B17" s="7" t="s">
        <v>109</v>
      </c>
      <c r="C17" s="8">
        <v>39146.0</v>
      </c>
      <c r="D17" s="7" t="s">
        <v>58</v>
      </c>
      <c r="E17" s="7" t="s">
        <v>82</v>
      </c>
    </row>
    <row r="18">
      <c r="A18" s="7" t="s">
        <v>100</v>
      </c>
      <c r="B18" s="7" t="s">
        <v>112</v>
      </c>
      <c r="C18" s="8">
        <v>677.0</v>
      </c>
      <c r="D18" s="7" t="s">
        <v>58</v>
      </c>
      <c r="E18" s="7" t="s">
        <v>82</v>
      </c>
    </row>
    <row r="19">
      <c r="A19" s="7" t="s">
        <v>113</v>
      </c>
      <c r="B19" s="7" t="s">
        <v>113</v>
      </c>
      <c r="C19" s="8">
        <v>19.0</v>
      </c>
      <c r="D19" s="7" t="s">
        <v>58</v>
      </c>
      <c r="E19" s="7" t="s">
        <v>75</v>
      </c>
    </row>
    <row r="20">
      <c r="A20" s="7" t="s">
        <v>113</v>
      </c>
      <c r="B20" s="7" t="s">
        <v>116</v>
      </c>
      <c r="C20" s="8">
        <v>8.0</v>
      </c>
      <c r="D20" s="7" t="s">
        <v>58</v>
      </c>
      <c r="E20" s="7" t="s">
        <v>75</v>
      </c>
    </row>
    <row r="21" ht="15.75" customHeight="1">
      <c r="A21" s="7" t="s">
        <v>113</v>
      </c>
      <c r="B21" s="7" t="s">
        <v>119</v>
      </c>
      <c r="C21" s="8">
        <v>11.0</v>
      </c>
      <c r="D21" s="7" t="s">
        <v>58</v>
      </c>
      <c r="E21" s="7" t="s">
        <v>75</v>
      </c>
    </row>
    <row r="22" ht="15.75" customHeight="1">
      <c r="A22" s="7" t="s">
        <v>121</v>
      </c>
      <c r="B22" s="7" t="s">
        <v>123</v>
      </c>
      <c r="C22" s="8">
        <v>80.0</v>
      </c>
      <c r="D22" s="7" t="s">
        <v>58</v>
      </c>
      <c r="E22" s="7" t="s">
        <v>126</v>
      </c>
    </row>
    <row r="23" ht="15.75" customHeight="1">
      <c r="A23" s="7" t="s">
        <v>121</v>
      </c>
      <c r="B23" s="7" t="s">
        <v>116</v>
      </c>
      <c r="C23" s="8">
        <v>111.0</v>
      </c>
      <c r="D23" s="7" t="s">
        <v>58</v>
      </c>
      <c r="E23" s="7" t="s">
        <v>137</v>
      </c>
    </row>
    <row r="24" ht="15.75" customHeight="1">
      <c r="A24" s="7" t="s">
        <v>121</v>
      </c>
      <c r="B24" s="7" t="s">
        <v>140</v>
      </c>
      <c r="C24" s="8">
        <v>76.0</v>
      </c>
      <c r="D24" s="7" t="s">
        <v>58</v>
      </c>
      <c r="E24" s="7" t="s">
        <v>142</v>
      </c>
    </row>
    <row r="25" ht="15.75" customHeight="1">
      <c r="A25" s="7" t="s">
        <v>121</v>
      </c>
      <c r="B25" s="7" t="s">
        <v>144</v>
      </c>
      <c r="C25" s="8">
        <v>27.0</v>
      </c>
      <c r="D25" s="7" t="s">
        <v>58</v>
      </c>
      <c r="E25" s="7" t="s">
        <v>147</v>
      </c>
    </row>
    <row r="26" ht="15.75" customHeight="1">
      <c r="A26" s="7" t="s">
        <v>121</v>
      </c>
      <c r="B26" s="7" t="s">
        <v>150</v>
      </c>
      <c r="C26" s="8">
        <v>294.0</v>
      </c>
      <c r="D26" s="7" t="s">
        <v>58</v>
      </c>
      <c r="E26" s="7" t="s">
        <v>152</v>
      </c>
    </row>
    <row r="27" ht="15.75" customHeight="1">
      <c r="A27" s="7" t="s">
        <v>121</v>
      </c>
      <c r="B27" s="7" t="s">
        <v>153</v>
      </c>
      <c r="C27" s="8">
        <v>267.0</v>
      </c>
      <c r="D27" s="7" t="s">
        <v>58</v>
      </c>
      <c r="E27" s="7" t="s">
        <v>154</v>
      </c>
    </row>
    <row r="28" ht="15.75" customHeight="1">
      <c r="A28" s="7" t="s">
        <v>156</v>
      </c>
      <c r="B28" s="7" t="s">
        <v>158</v>
      </c>
      <c r="C28" s="8">
        <v>19.0</v>
      </c>
      <c r="D28" s="7" t="s">
        <v>58</v>
      </c>
      <c r="E28" s="7" t="s">
        <v>75</v>
      </c>
    </row>
    <row r="29" ht="15.75" customHeight="1">
      <c r="A29" s="7" t="s">
        <v>156</v>
      </c>
      <c r="B29" s="7" t="s">
        <v>161</v>
      </c>
      <c r="C29" s="8">
        <v>11.0</v>
      </c>
      <c r="D29" s="7" t="s">
        <v>58</v>
      </c>
      <c r="E29" s="7" t="s">
        <v>75</v>
      </c>
    </row>
    <row r="30" ht="15.75" customHeight="1">
      <c r="A30" s="7" t="s">
        <v>156</v>
      </c>
      <c r="B30" s="7" t="s">
        <v>163</v>
      </c>
      <c r="C30" s="8">
        <v>8.0</v>
      </c>
      <c r="D30" s="7" t="s">
        <v>58</v>
      </c>
      <c r="E30" s="7" t="s">
        <v>75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28.0"/>
    <col customWidth="1" min="3" max="11" width="10.0"/>
    <col customWidth="1" min="12" max="12" width="12.0"/>
    <col customWidth="1" min="13" max="13" width="14.0"/>
    <col customWidth="1" min="14" max="26" width="8.63"/>
  </cols>
  <sheetData>
    <row r="1" ht="30.0" customHeight="1">
      <c r="A1" s="6" t="s">
        <v>27</v>
      </c>
      <c r="B1" s="6" t="s">
        <v>21</v>
      </c>
      <c r="C1" s="6" t="s">
        <v>32</v>
      </c>
      <c r="D1" s="6" t="s">
        <v>35</v>
      </c>
      <c r="E1" s="6" t="s">
        <v>36</v>
      </c>
      <c r="F1" s="6" t="s">
        <v>38</v>
      </c>
      <c r="G1" s="6" t="s">
        <v>42</v>
      </c>
      <c r="H1" s="6" t="s">
        <v>43</v>
      </c>
      <c r="I1" s="6" t="s">
        <v>45</v>
      </c>
      <c r="J1" s="6" t="s">
        <v>47</v>
      </c>
      <c r="K1" s="6" t="s">
        <v>51</v>
      </c>
      <c r="L1" s="6" t="s">
        <v>53</v>
      </c>
      <c r="M1" s="6" t="s">
        <v>54</v>
      </c>
    </row>
    <row r="2">
      <c r="A2" s="7" t="s">
        <v>57</v>
      </c>
      <c r="B2" s="10" t="s">
        <v>59</v>
      </c>
      <c r="C2" s="7">
        <v>2.0</v>
      </c>
      <c r="D2" s="7">
        <v>3.0</v>
      </c>
      <c r="E2" s="7">
        <v>1.0</v>
      </c>
      <c r="F2" s="7">
        <v>2.0</v>
      </c>
      <c r="G2" s="7">
        <v>3.0</v>
      </c>
      <c r="H2" s="7">
        <v>1.0</v>
      </c>
      <c r="I2" s="7">
        <v>0.0</v>
      </c>
      <c r="J2" s="7">
        <v>0.0</v>
      </c>
      <c r="K2" s="7">
        <v>0.0</v>
      </c>
      <c r="L2" s="7">
        <v>0.0</v>
      </c>
      <c r="M2" s="11">
        <v>1.0</v>
      </c>
    </row>
    <row r="3">
      <c r="A3" s="7" t="s">
        <v>57</v>
      </c>
      <c r="B3" s="7" t="s">
        <v>64</v>
      </c>
      <c r="C3" s="7">
        <v>1.0</v>
      </c>
      <c r="D3" s="7">
        <v>0.0</v>
      </c>
      <c r="E3" s="7">
        <v>0.0</v>
      </c>
      <c r="F3" s="7">
        <v>1.0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11">
        <v>1.0</v>
      </c>
    </row>
    <row r="4">
      <c r="A4" s="7" t="s">
        <v>57</v>
      </c>
      <c r="B4" s="7" t="s">
        <v>67</v>
      </c>
      <c r="C4" s="7">
        <v>3.0</v>
      </c>
      <c r="D4" s="7">
        <v>2.0</v>
      </c>
      <c r="E4" s="7">
        <v>0.0</v>
      </c>
      <c r="F4" s="7">
        <v>3.0</v>
      </c>
      <c r="G4" s="7">
        <v>2.0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11">
        <v>1.0</v>
      </c>
    </row>
    <row r="5">
      <c r="A5" s="7" t="s">
        <v>57</v>
      </c>
      <c r="B5" s="7" t="s">
        <v>72</v>
      </c>
      <c r="C5" s="7">
        <v>8.0</v>
      </c>
      <c r="D5" s="7">
        <v>1.0</v>
      </c>
      <c r="E5" s="7">
        <v>0.0</v>
      </c>
      <c r="F5" s="7">
        <v>8.0</v>
      </c>
      <c r="G5" s="7">
        <v>1.0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11">
        <v>1.0</v>
      </c>
    </row>
    <row r="6">
      <c r="A6" s="7" t="s">
        <v>79</v>
      </c>
      <c r="B6" s="7" t="s">
        <v>80</v>
      </c>
      <c r="C6" s="7">
        <v>10.0</v>
      </c>
      <c r="D6" s="7">
        <v>8.0</v>
      </c>
      <c r="E6" s="7">
        <v>5.0</v>
      </c>
      <c r="F6" s="7">
        <v>10.0</v>
      </c>
      <c r="G6" s="7">
        <v>8.0</v>
      </c>
      <c r="H6" s="7">
        <v>5.0</v>
      </c>
      <c r="I6" s="7">
        <v>0.0</v>
      </c>
      <c r="J6" s="7">
        <v>0.0</v>
      </c>
      <c r="K6" s="7">
        <v>0.0</v>
      </c>
      <c r="L6" s="7">
        <v>0.0</v>
      </c>
      <c r="M6" s="11">
        <v>1.0</v>
      </c>
    </row>
    <row r="7">
      <c r="A7" s="7" t="s">
        <v>79</v>
      </c>
      <c r="B7" s="7" t="s">
        <v>90</v>
      </c>
      <c r="C7" s="7">
        <v>7.0</v>
      </c>
      <c r="D7" s="7">
        <v>6.0</v>
      </c>
      <c r="E7" s="7">
        <v>0.0</v>
      </c>
      <c r="F7" s="7">
        <v>7.0</v>
      </c>
      <c r="G7" s="7">
        <v>6.0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11">
        <v>1.0</v>
      </c>
    </row>
    <row r="8">
      <c r="A8" s="7" t="s">
        <v>79</v>
      </c>
      <c r="B8" s="7" t="s">
        <v>104</v>
      </c>
      <c r="C8" s="7">
        <v>15.0</v>
      </c>
      <c r="D8" s="7">
        <v>9.0</v>
      </c>
      <c r="E8" s="7">
        <v>0.0</v>
      </c>
      <c r="F8" s="7">
        <v>15.0</v>
      </c>
      <c r="G8" s="7">
        <v>9.0</v>
      </c>
      <c r="H8" s="7">
        <v>0.0</v>
      </c>
      <c r="I8" s="7">
        <v>0.0</v>
      </c>
      <c r="J8" s="7">
        <v>0.0</v>
      </c>
      <c r="K8" s="7">
        <v>0.0</v>
      </c>
      <c r="L8" s="7">
        <v>0.0</v>
      </c>
      <c r="M8" s="11">
        <v>1.0</v>
      </c>
    </row>
    <row r="9">
      <c r="A9" s="7" t="s">
        <v>79</v>
      </c>
      <c r="B9" s="7" t="s">
        <v>110</v>
      </c>
      <c r="C9" s="7">
        <v>14.0</v>
      </c>
      <c r="D9" s="7">
        <v>14.0</v>
      </c>
      <c r="E9" s="7">
        <v>8.0</v>
      </c>
      <c r="F9" s="7">
        <v>14.0</v>
      </c>
      <c r="G9" s="7">
        <v>14.0</v>
      </c>
      <c r="H9" s="7">
        <v>8.0</v>
      </c>
      <c r="I9" s="7">
        <v>0.0</v>
      </c>
      <c r="J9" s="7">
        <v>0.0</v>
      </c>
      <c r="K9" s="7">
        <v>0.0</v>
      </c>
      <c r="L9" s="7">
        <v>0.0</v>
      </c>
      <c r="M9" s="11">
        <v>1.0</v>
      </c>
    </row>
    <row r="10">
      <c r="A10" s="7" t="s">
        <v>79</v>
      </c>
      <c r="B10" s="7" t="s">
        <v>115</v>
      </c>
      <c r="C10" s="7">
        <v>16.0</v>
      </c>
      <c r="D10" s="7">
        <v>17.0</v>
      </c>
      <c r="E10" s="7">
        <v>0.0</v>
      </c>
      <c r="F10" s="7">
        <v>16.0</v>
      </c>
      <c r="G10" s="7">
        <v>17.0</v>
      </c>
      <c r="H10" s="7">
        <v>0.0</v>
      </c>
      <c r="I10" s="7">
        <v>0.0</v>
      </c>
      <c r="J10" s="7">
        <v>0.0</v>
      </c>
      <c r="K10" s="7">
        <v>0.0</v>
      </c>
      <c r="L10" s="7">
        <v>0.0</v>
      </c>
      <c r="M10" s="11">
        <v>1.0</v>
      </c>
    </row>
    <row r="11">
      <c r="A11" s="7" t="s">
        <v>79</v>
      </c>
      <c r="B11" s="7" t="s">
        <v>120</v>
      </c>
      <c r="C11" s="7">
        <v>12.0</v>
      </c>
      <c r="D11" s="7">
        <v>7.0</v>
      </c>
      <c r="E11" s="7">
        <v>0.0</v>
      </c>
      <c r="F11" s="7">
        <v>12.0</v>
      </c>
      <c r="G11" s="7">
        <v>7.0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11">
        <v>1.0</v>
      </c>
    </row>
    <row r="12">
      <c r="A12" s="7" t="s">
        <v>79</v>
      </c>
      <c r="B12" s="7" t="s">
        <v>129</v>
      </c>
      <c r="C12" s="7">
        <v>1.0</v>
      </c>
      <c r="D12" s="7">
        <v>0.0</v>
      </c>
      <c r="E12" s="7">
        <v>0.0</v>
      </c>
      <c r="F12" s="7">
        <v>1.0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  <c r="L12" s="7">
        <v>0.0</v>
      </c>
      <c r="M12" s="11">
        <v>1.0</v>
      </c>
    </row>
    <row r="13">
      <c r="A13" s="7" t="s">
        <v>79</v>
      </c>
      <c r="B13" s="7" t="s">
        <v>138</v>
      </c>
      <c r="C13" s="7">
        <v>9.0</v>
      </c>
      <c r="D13" s="7">
        <v>9.0</v>
      </c>
      <c r="E13" s="7">
        <v>0.0</v>
      </c>
      <c r="F13" s="7">
        <v>9.0</v>
      </c>
      <c r="G13" s="7">
        <v>9.0</v>
      </c>
      <c r="H13" s="7">
        <v>0.0</v>
      </c>
      <c r="I13" s="7">
        <v>0.0</v>
      </c>
      <c r="J13" s="7">
        <v>0.0</v>
      </c>
      <c r="K13" s="7">
        <v>0.0</v>
      </c>
      <c r="L13" s="7">
        <v>0.0</v>
      </c>
      <c r="M13" s="11">
        <v>1.0</v>
      </c>
    </row>
    <row r="14">
      <c r="A14" s="7" t="s">
        <v>79</v>
      </c>
      <c r="B14" s="7" t="s">
        <v>146</v>
      </c>
      <c r="C14" s="7">
        <v>9.0</v>
      </c>
      <c r="D14" s="7">
        <v>9.0</v>
      </c>
      <c r="E14" s="7">
        <v>0.0</v>
      </c>
      <c r="F14" s="7">
        <v>9.0</v>
      </c>
      <c r="G14" s="7">
        <v>9.0</v>
      </c>
      <c r="H14" s="7">
        <v>0.0</v>
      </c>
      <c r="I14" s="7">
        <v>0.0</v>
      </c>
      <c r="J14" s="7">
        <v>0.0</v>
      </c>
      <c r="K14" s="7">
        <v>0.0</v>
      </c>
      <c r="L14" s="7">
        <v>0.0</v>
      </c>
      <c r="M14" s="11">
        <v>1.0</v>
      </c>
    </row>
    <row r="15">
      <c r="A15" s="7" t="s">
        <v>79</v>
      </c>
      <c r="B15" s="7" t="s">
        <v>157</v>
      </c>
      <c r="C15" s="7">
        <v>17.0</v>
      </c>
      <c r="D15" s="7">
        <v>16.0</v>
      </c>
      <c r="E15" s="7">
        <v>8.0</v>
      </c>
      <c r="F15" s="7">
        <v>17.0</v>
      </c>
      <c r="G15" s="7">
        <v>15.0</v>
      </c>
      <c r="H15" s="7">
        <v>8.0</v>
      </c>
      <c r="I15" s="7">
        <v>0.0</v>
      </c>
      <c r="J15" s="7">
        <v>1.0</v>
      </c>
      <c r="K15" s="7">
        <v>0.0</v>
      </c>
      <c r="L15" s="7">
        <v>1.0</v>
      </c>
      <c r="M15" s="11">
        <v>0.98</v>
      </c>
    </row>
    <row r="16">
      <c r="A16" s="7" t="s">
        <v>57</v>
      </c>
      <c r="B16" s="7" t="s">
        <v>164</v>
      </c>
      <c r="C16" s="7">
        <v>19.0</v>
      </c>
      <c r="D16" s="7">
        <v>19.0</v>
      </c>
      <c r="E16" s="7">
        <v>12.0</v>
      </c>
      <c r="F16" s="7">
        <v>18.0</v>
      </c>
      <c r="G16" s="7">
        <v>18.0</v>
      </c>
      <c r="H16" s="7">
        <v>12.0</v>
      </c>
      <c r="I16" s="7">
        <v>1.0</v>
      </c>
      <c r="J16" s="7">
        <v>1.0</v>
      </c>
      <c r="K16" s="7">
        <v>0.0</v>
      </c>
      <c r="L16" s="7">
        <v>2.0</v>
      </c>
      <c r="M16" s="11">
        <v>0.96</v>
      </c>
    </row>
    <row r="17">
      <c r="A17" s="7" t="s">
        <v>79</v>
      </c>
      <c r="B17" s="7" t="s">
        <v>167</v>
      </c>
      <c r="C17" s="7">
        <v>11.0</v>
      </c>
      <c r="D17" s="7">
        <v>8.0</v>
      </c>
      <c r="E17" s="7">
        <v>5.0</v>
      </c>
      <c r="F17" s="7">
        <v>11.0</v>
      </c>
      <c r="G17" s="7">
        <v>7.0</v>
      </c>
      <c r="H17" s="7">
        <v>5.0</v>
      </c>
      <c r="I17" s="7">
        <v>0.0</v>
      </c>
      <c r="J17" s="7">
        <v>1.0</v>
      </c>
      <c r="K17" s="7">
        <v>0.0</v>
      </c>
      <c r="L17" s="7">
        <v>1.0</v>
      </c>
      <c r="M17" s="11">
        <v>0.96</v>
      </c>
    </row>
    <row r="18">
      <c r="A18" s="7" t="s">
        <v>57</v>
      </c>
      <c r="B18" s="7" t="s">
        <v>118</v>
      </c>
      <c r="C18" s="7">
        <v>9.0</v>
      </c>
      <c r="D18" s="7">
        <v>8.0</v>
      </c>
      <c r="E18" s="7">
        <v>5.0</v>
      </c>
      <c r="F18" s="7">
        <v>9.0</v>
      </c>
      <c r="G18" s="7">
        <v>7.0</v>
      </c>
      <c r="H18" s="7">
        <v>5.0</v>
      </c>
      <c r="I18" s="7">
        <v>0.0</v>
      </c>
      <c r="J18" s="7">
        <v>1.0</v>
      </c>
      <c r="K18" s="7">
        <v>0.0</v>
      </c>
      <c r="L18" s="7">
        <v>1.0</v>
      </c>
      <c r="M18" s="11">
        <v>0.95</v>
      </c>
    </row>
    <row r="19">
      <c r="A19" s="7" t="s">
        <v>57</v>
      </c>
      <c r="B19" s="7" t="s">
        <v>174</v>
      </c>
      <c r="C19" s="7">
        <v>23.0</v>
      </c>
      <c r="D19" s="7">
        <v>23.0</v>
      </c>
      <c r="E19" s="7">
        <v>12.0</v>
      </c>
      <c r="F19" s="7">
        <v>23.0</v>
      </c>
      <c r="G19" s="7">
        <v>20.0</v>
      </c>
      <c r="H19" s="7">
        <v>12.0</v>
      </c>
      <c r="I19" s="7">
        <v>0.0</v>
      </c>
      <c r="J19" s="7">
        <v>3.0</v>
      </c>
      <c r="K19" s="7">
        <v>0.0</v>
      </c>
      <c r="L19" s="7">
        <v>3.0</v>
      </c>
      <c r="M19" s="11">
        <v>0.95</v>
      </c>
    </row>
    <row r="20">
      <c r="A20" s="7" t="s">
        <v>57</v>
      </c>
      <c r="B20" s="7" t="s">
        <v>175</v>
      </c>
      <c r="C20" s="7">
        <v>15.0</v>
      </c>
      <c r="D20" s="7">
        <v>15.0</v>
      </c>
      <c r="E20" s="7">
        <v>8.0</v>
      </c>
      <c r="F20" s="7">
        <v>15.0</v>
      </c>
      <c r="G20" s="7">
        <v>13.0</v>
      </c>
      <c r="H20" s="7">
        <v>8.0</v>
      </c>
      <c r="I20" s="7">
        <v>0.0</v>
      </c>
      <c r="J20" s="7">
        <v>2.0</v>
      </c>
      <c r="K20" s="7">
        <v>0.0</v>
      </c>
      <c r="L20" s="7">
        <v>2.0</v>
      </c>
      <c r="M20" s="11">
        <v>0.95</v>
      </c>
    </row>
    <row r="21" ht="15.75" customHeight="1">
      <c r="A21" s="7" t="s">
        <v>79</v>
      </c>
      <c r="B21" s="7" t="s">
        <v>176</v>
      </c>
      <c r="C21" s="7">
        <v>7.0</v>
      </c>
      <c r="D21" s="7">
        <v>6.0</v>
      </c>
      <c r="E21" s="7">
        <v>0.0</v>
      </c>
      <c r="F21" s="7">
        <v>6.0</v>
      </c>
      <c r="G21" s="7">
        <v>6.0</v>
      </c>
      <c r="H21" s="7">
        <v>0.0</v>
      </c>
      <c r="I21" s="7">
        <v>1.0</v>
      </c>
      <c r="J21" s="7">
        <v>0.0</v>
      </c>
      <c r="K21" s="7">
        <v>0.0</v>
      </c>
      <c r="L21" s="7">
        <v>1.0</v>
      </c>
      <c r="M21" s="11">
        <v>0.92</v>
      </c>
    </row>
    <row r="22" ht="15.75" customHeight="1">
      <c r="A22" s="7" t="s">
        <v>57</v>
      </c>
      <c r="B22" s="7" t="s">
        <v>177</v>
      </c>
      <c r="C22" s="7">
        <v>18.0</v>
      </c>
      <c r="D22" s="7">
        <v>18.0</v>
      </c>
      <c r="E22" s="7">
        <v>9.0</v>
      </c>
      <c r="F22" s="7">
        <v>15.0</v>
      </c>
      <c r="G22" s="7">
        <v>17.0</v>
      </c>
      <c r="H22" s="7">
        <v>9.0</v>
      </c>
      <c r="I22" s="7">
        <v>3.0</v>
      </c>
      <c r="J22" s="7">
        <v>1.0</v>
      </c>
      <c r="K22" s="7">
        <v>0.0</v>
      </c>
      <c r="L22" s="7">
        <v>4.0</v>
      </c>
      <c r="M22" s="11">
        <v>0.91</v>
      </c>
    </row>
    <row r="23" ht="15.75" customHeight="1">
      <c r="A23" s="7" t="s">
        <v>57</v>
      </c>
      <c r="B23" s="7" t="s">
        <v>218</v>
      </c>
      <c r="C23" s="7">
        <v>9.0</v>
      </c>
      <c r="D23" s="7">
        <v>8.0</v>
      </c>
      <c r="E23" s="7">
        <v>0.0</v>
      </c>
      <c r="F23" s="7">
        <v>8.0</v>
      </c>
      <c r="G23" s="7">
        <v>7.0</v>
      </c>
      <c r="H23" s="7">
        <v>0.0</v>
      </c>
      <c r="I23" s="7">
        <v>1.0</v>
      </c>
      <c r="J23" s="7">
        <v>1.0</v>
      </c>
      <c r="K23" s="7">
        <v>0.0</v>
      </c>
      <c r="L23" s="7">
        <v>2.0</v>
      </c>
      <c r="M23" s="11">
        <v>0.88</v>
      </c>
    </row>
    <row r="24" ht="15.75" customHeight="1">
      <c r="A24" s="7" t="s">
        <v>57</v>
      </c>
      <c r="B24" s="7" t="s">
        <v>221</v>
      </c>
      <c r="C24" s="7">
        <v>9.0</v>
      </c>
      <c r="D24" s="7">
        <v>8.0</v>
      </c>
      <c r="E24" s="7">
        <v>0.0</v>
      </c>
      <c r="F24" s="7">
        <v>9.0</v>
      </c>
      <c r="G24" s="7">
        <v>6.0</v>
      </c>
      <c r="H24" s="7">
        <v>0.0</v>
      </c>
      <c r="I24" s="7">
        <v>0.0</v>
      </c>
      <c r="J24" s="7">
        <v>2.0</v>
      </c>
      <c r="K24" s="7">
        <v>0.0</v>
      </c>
      <c r="L24" s="7">
        <v>2.0</v>
      </c>
      <c r="M24" s="11">
        <v>0.88</v>
      </c>
    </row>
    <row r="25" ht="15.75" customHeight="1">
      <c r="A25" s="7" t="s">
        <v>57</v>
      </c>
      <c r="B25" s="7" t="s">
        <v>224</v>
      </c>
      <c r="C25" s="7">
        <v>9.0</v>
      </c>
      <c r="D25" s="7">
        <v>10.0</v>
      </c>
      <c r="E25" s="7">
        <v>5.0</v>
      </c>
      <c r="F25" s="7">
        <v>8.0</v>
      </c>
      <c r="G25" s="7">
        <v>8.0</v>
      </c>
      <c r="H25" s="7">
        <v>5.0</v>
      </c>
      <c r="I25" s="7">
        <v>1.0</v>
      </c>
      <c r="J25" s="7">
        <v>2.0</v>
      </c>
      <c r="K25" s="7">
        <v>0.0</v>
      </c>
      <c r="L25" s="7">
        <v>3.0</v>
      </c>
      <c r="M25" s="11">
        <v>0.88</v>
      </c>
    </row>
    <row r="26" ht="15.75" customHeight="1">
      <c r="A26" s="7" t="s">
        <v>57</v>
      </c>
      <c r="B26" s="7" t="s">
        <v>226</v>
      </c>
      <c r="C26" s="7">
        <v>4.0</v>
      </c>
      <c r="D26" s="7">
        <v>4.0</v>
      </c>
      <c r="E26" s="7">
        <v>0.0</v>
      </c>
      <c r="F26" s="7">
        <v>4.0</v>
      </c>
      <c r="G26" s="7">
        <v>3.0</v>
      </c>
      <c r="H26" s="7">
        <v>0.0</v>
      </c>
      <c r="I26" s="7">
        <v>0.0</v>
      </c>
      <c r="J26" s="7">
        <v>1.0</v>
      </c>
      <c r="K26" s="7">
        <v>0.0</v>
      </c>
      <c r="L26" s="7">
        <v>1.0</v>
      </c>
      <c r="M26" s="11">
        <v>0.88</v>
      </c>
    </row>
    <row r="27" ht="15.75" customHeight="1">
      <c r="A27" s="7" t="s">
        <v>79</v>
      </c>
      <c r="B27" s="7" t="s">
        <v>234</v>
      </c>
      <c r="C27" s="7">
        <v>10.0</v>
      </c>
      <c r="D27" s="7">
        <v>8.0</v>
      </c>
      <c r="E27" s="7">
        <v>0.0</v>
      </c>
      <c r="F27" s="7">
        <v>7.0</v>
      </c>
      <c r="G27" s="7">
        <v>7.0</v>
      </c>
      <c r="H27" s="7">
        <v>0.0</v>
      </c>
      <c r="I27" s="7">
        <v>3.0</v>
      </c>
      <c r="J27" s="7">
        <v>1.0</v>
      </c>
      <c r="K27" s="7">
        <v>0.0</v>
      </c>
      <c r="L27" s="7">
        <v>4.0</v>
      </c>
      <c r="M27" s="11">
        <v>0.78</v>
      </c>
    </row>
    <row r="28" ht="15.75" customHeight="1">
      <c r="A28" s="7" t="s">
        <v>57</v>
      </c>
      <c r="B28" s="7" t="s">
        <v>242</v>
      </c>
      <c r="C28" s="7">
        <v>7.0</v>
      </c>
      <c r="D28" s="7">
        <v>6.0</v>
      </c>
      <c r="E28" s="7">
        <v>0.0</v>
      </c>
      <c r="F28" s="7">
        <v>7.0</v>
      </c>
      <c r="G28" s="7">
        <v>3.0</v>
      </c>
      <c r="H28" s="7">
        <v>0.0</v>
      </c>
      <c r="I28" s="7">
        <v>0.0</v>
      </c>
      <c r="J28" s="7">
        <v>3.0</v>
      </c>
      <c r="K28" s="7">
        <v>0.0</v>
      </c>
      <c r="L28" s="7">
        <v>3.0</v>
      </c>
      <c r="M28" s="11">
        <v>0.77</v>
      </c>
    </row>
    <row r="29" ht="15.75" customHeight="1">
      <c r="A29" s="7" t="s">
        <v>79</v>
      </c>
      <c r="B29" s="7" t="s">
        <v>253</v>
      </c>
      <c r="C29" s="7">
        <v>1.0</v>
      </c>
      <c r="D29" s="7">
        <v>2.0</v>
      </c>
      <c r="E29" s="7">
        <v>0.0</v>
      </c>
      <c r="F29" s="7">
        <v>0.0</v>
      </c>
      <c r="G29" s="7">
        <v>2.0</v>
      </c>
      <c r="H29" s="7">
        <v>0.0</v>
      </c>
      <c r="I29" s="7">
        <v>1.0</v>
      </c>
      <c r="J29" s="7">
        <v>0.0</v>
      </c>
      <c r="K29" s="7">
        <v>0.0</v>
      </c>
      <c r="L29" s="7">
        <v>1.0</v>
      </c>
      <c r="M29" s="11">
        <v>0.67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2:M29">
    <cfRule type="colorScale" priority="1">
      <colorScale>
        <cfvo type="min"/>
        <cfvo type="percentile" val="50"/>
        <cfvo type="max"/>
        <color rgb="FFFBEAEA"/>
        <color rgb="FFFBF0DA"/>
        <color rgb="FFE5F5EB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34.0"/>
    <col customWidth="1" min="3" max="3" width="18.0"/>
    <col customWidth="1" min="4" max="26" width="8.63"/>
  </cols>
  <sheetData>
    <row r="1" ht="30.0" customHeight="1">
      <c r="A1" s="6" t="s">
        <v>24</v>
      </c>
      <c r="B1" s="6" t="s">
        <v>28</v>
      </c>
      <c r="C1" s="6" t="s">
        <v>31</v>
      </c>
    </row>
    <row r="2">
      <c r="A2" s="7" t="s">
        <v>39</v>
      </c>
      <c r="B2" s="7" t="s">
        <v>44</v>
      </c>
      <c r="C2" s="9">
        <v>10427.0</v>
      </c>
    </row>
    <row r="3">
      <c r="A3" s="7" t="s">
        <v>39</v>
      </c>
      <c r="B3" s="7" t="s">
        <v>48</v>
      </c>
      <c r="C3" s="9">
        <v>0.0</v>
      </c>
    </row>
    <row r="4">
      <c r="A4" s="7" t="s">
        <v>50</v>
      </c>
      <c r="B4" s="7" t="s">
        <v>44</v>
      </c>
      <c r="C4" s="9">
        <v>248627.0</v>
      </c>
    </row>
    <row r="5">
      <c r="A5" s="7" t="s">
        <v>50</v>
      </c>
      <c r="B5" s="7" t="s">
        <v>48</v>
      </c>
      <c r="C5" s="9">
        <v>31443.0</v>
      </c>
    </row>
    <row r="6">
      <c r="A6" s="7" t="s">
        <v>56</v>
      </c>
      <c r="B6" s="7" t="s">
        <v>44</v>
      </c>
      <c r="C6" s="9">
        <v>45862.0</v>
      </c>
    </row>
    <row r="7">
      <c r="A7" s="7" t="s">
        <v>56</v>
      </c>
      <c r="B7" s="7" t="s">
        <v>48</v>
      </c>
      <c r="C7" s="9">
        <v>2507.0</v>
      </c>
    </row>
    <row r="8">
      <c r="A8" s="7" t="s">
        <v>60</v>
      </c>
      <c r="B8" s="7" t="s">
        <v>44</v>
      </c>
      <c r="C8" s="9">
        <v>37330.0</v>
      </c>
    </row>
    <row r="9">
      <c r="A9" s="7" t="s">
        <v>60</v>
      </c>
      <c r="B9" s="7" t="s">
        <v>48</v>
      </c>
      <c r="C9" s="9">
        <v>3902.0</v>
      </c>
    </row>
    <row r="10">
      <c r="A10" s="7" t="s">
        <v>62</v>
      </c>
      <c r="B10" s="7" t="s">
        <v>44</v>
      </c>
      <c r="C10" s="9">
        <v>33645.0</v>
      </c>
    </row>
    <row r="11">
      <c r="A11" s="7" t="s">
        <v>62</v>
      </c>
      <c r="B11" s="7" t="s">
        <v>48</v>
      </c>
      <c r="C11" s="9">
        <v>493.0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0.0"/>
    <col customWidth="1" min="2" max="4" width="18.0"/>
    <col customWidth="1" min="5" max="6" width="14.0"/>
    <col customWidth="1" min="7" max="26" width="8.63"/>
  </cols>
  <sheetData>
    <row r="1" ht="30.0" customHeight="1">
      <c r="A1" s="6" t="s">
        <v>21</v>
      </c>
      <c r="B1" s="6" t="s">
        <v>25</v>
      </c>
      <c r="C1" s="6" t="s">
        <v>29</v>
      </c>
      <c r="D1" s="6" t="s">
        <v>30</v>
      </c>
      <c r="E1" s="6" t="s">
        <v>34</v>
      </c>
      <c r="F1" s="6" t="s">
        <v>37</v>
      </c>
    </row>
    <row r="2">
      <c r="A2" s="7" t="s">
        <v>41</v>
      </c>
      <c r="B2" s="8">
        <v>1.73</v>
      </c>
      <c r="C2" s="8">
        <v>2.5</v>
      </c>
      <c r="D2" s="8">
        <v>4.3</v>
      </c>
      <c r="E2" s="8">
        <v>4.7</v>
      </c>
      <c r="F2" s="7" t="b">
        <v>0</v>
      </c>
    </row>
    <row r="3">
      <c r="A3" s="7" t="s">
        <v>70</v>
      </c>
      <c r="B3" s="8">
        <v>2.19</v>
      </c>
      <c r="C3" s="8">
        <v>3.91</v>
      </c>
      <c r="D3" s="8">
        <v>6.2</v>
      </c>
      <c r="E3" s="8">
        <v>5.0</v>
      </c>
      <c r="F3" s="7" t="b">
        <v>0</v>
      </c>
    </row>
    <row r="4">
      <c r="A4" s="7" t="s">
        <v>74</v>
      </c>
      <c r="B4" s="8">
        <v>2.58</v>
      </c>
      <c r="C4" s="8">
        <v>3.77</v>
      </c>
      <c r="D4" s="8">
        <v>6.4</v>
      </c>
      <c r="E4" s="8">
        <v>5.0</v>
      </c>
      <c r="F4" s="7" t="b">
        <v>0</v>
      </c>
    </row>
    <row r="5">
      <c r="A5" s="7" t="s">
        <v>77</v>
      </c>
      <c r="B5" s="8">
        <v>2.4</v>
      </c>
      <c r="C5" s="8">
        <v>4.13</v>
      </c>
      <c r="D5" s="8">
        <v>6.4</v>
      </c>
      <c r="E5" s="8">
        <v>4.7</v>
      </c>
      <c r="F5" s="7" t="b">
        <v>0</v>
      </c>
    </row>
    <row r="6">
      <c r="A6" s="7" t="s">
        <v>83</v>
      </c>
      <c r="B6" s="8">
        <v>1.73</v>
      </c>
      <c r="C6" s="8">
        <v>5.44</v>
      </c>
      <c r="D6" s="8">
        <v>6.9</v>
      </c>
      <c r="E6" s="8">
        <v>4.6</v>
      </c>
      <c r="F6" s="7" t="b">
        <v>0</v>
      </c>
    </row>
    <row r="7">
      <c r="A7" s="7" t="s">
        <v>86</v>
      </c>
      <c r="B7" s="8">
        <v>3.13</v>
      </c>
      <c r="C7" s="8">
        <v>3.79</v>
      </c>
      <c r="D7" s="8">
        <v>6.9</v>
      </c>
      <c r="E7" s="8"/>
      <c r="F7" s="7" t="b">
        <v>0</v>
      </c>
    </row>
    <row r="8">
      <c r="A8" s="7" t="s">
        <v>88</v>
      </c>
      <c r="B8" s="8">
        <v>2.75</v>
      </c>
      <c r="C8" s="8">
        <v>4.45</v>
      </c>
      <c r="D8" s="8">
        <v>7.2</v>
      </c>
      <c r="E8" s="8">
        <v>4.8</v>
      </c>
      <c r="F8" s="7" t="b">
        <v>0</v>
      </c>
    </row>
    <row r="9">
      <c r="A9" s="7" t="s">
        <v>94</v>
      </c>
      <c r="B9" s="8">
        <v>2.9</v>
      </c>
      <c r="C9" s="8">
        <v>4.2</v>
      </c>
      <c r="D9" s="8">
        <v>7.1</v>
      </c>
      <c r="E9" s="8">
        <v>4.8</v>
      </c>
      <c r="F9" s="7" t="b">
        <v>1</v>
      </c>
    </row>
    <row r="10">
      <c r="A10" s="7" t="s">
        <v>99</v>
      </c>
      <c r="B10" s="8">
        <v>2.35</v>
      </c>
      <c r="C10" s="8">
        <v>4.76</v>
      </c>
      <c r="D10" s="8">
        <v>7.3</v>
      </c>
      <c r="E10" s="8">
        <v>4.9</v>
      </c>
      <c r="F10" s="7" t="b">
        <v>1</v>
      </c>
    </row>
    <row r="11">
      <c r="A11" s="7" t="s">
        <v>105</v>
      </c>
      <c r="B11" s="8">
        <v>2.94</v>
      </c>
      <c r="C11" s="8">
        <v>4.48</v>
      </c>
      <c r="D11" s="8">
        <v>7.3</v>
      </c>
      <c r="E11" s="8">
        <v>4.7</v>
      </c>
      <c r="F11" s="7" t="b">
        <v>1</v>
      </c>
    </row>
    <row r="12">
      <c r="A12" s="7" t="s">
        <v>106</v>
      </c>
      <c r="B12" s="8">
        <v>4.48</v>
      </c>
      <c r="C12" s="8">
        <v>3.04</v>
      </c>
      <c r="D12" s="8">
        <v>7.7</v>
      </c>
      <c r="E12" s="8">
        <v>4.4</v>
      </c>
      <c r="F12" s="7" t="b">
        <v>0</v>
      </c>
    </row>
    <row r="13">
      <c r="A13" s="7" t="s">
        <v>108</v>
      </c>
      <c r="B13" s="8">
        <v>3.64</v>
      </c>
      <c r="C13" s="8">
        <v>4.38</v>
      </c>
      <c r="D13" s="8">
        <v>8.1</v>
      </c>
      <c r="E13" s="8">
        <v>3.8</v>
      </c>
      <c r="F13" s="7" t="b">
        <v>0</v>
      </c>
    </row>
    <row r="14">
      <c r="A14" s="7" t="s">
        <v>111</v>
      </c>
      <c r="B14" s="8">
        <v>1.65</v>
      </c>
      <c r="C14" s="8">
        <v>3.28</v>
      </c>
      <c r="D14" s="8">
        <v>5.0</v>
      </c>
      <c r="E14" s="8">
        <v>3.4</v>
      </c>
      <c r="F14" s="7" t="b">
        <v>1</v>
      </c>
    </row>
    <row r="15">
      <c r="A15" s="7" t="s">
        <v>114</v>
      </c>
      <c r="B15" s="8">
        <v>1.7</v>
      </c>
      <c r="C15" s="8">
        <v>3.34</v>
      </c>
      <c r="D15" s="8">
        <v>5.0</v>
      </c>
      <c r="E15" s="8">
        <v>4.7</v>
      </c>
      <c r="F15" s="7" t="b">
        <v>1</v>
      </c>
    </row>
    <row r="16">
      <c r="A16" s="7" t="s">
        <v>117</v>
      </c>
      <c r="B16" s="8">
        <v>3.96</v>
      </c>
      <c r="C16" s="8">
        <v>3.79</v>
      </c>
      <c r="D16" s="8">
        <v>7.8</v>
      </c>
      <c r="E16" s="8">
        <v>4.1</v>
      </c>
      <c r="F16" s="7" t="b">
        <v>1</v>
      </c>
    </row>
    <row r="17">
      <c r="A17" s="7" t="s">
        <v>118</v>
      </c>
      <c r="B17" s="8">
        <v>6.44</v>
      </c>
      <c r="C17" s="8">
        <v>7.66</v>
      </c>
      <c r="D17" s="8">
        <v>13.9</v>
      </c>
      <c r="E17" s="8">
        <v>3.1</v>
      </c>
      <c r="F17" s="7" t="b">
        <v>1</v>
      </c>
    </row>
    <row r="18">
      <c r="A18" s="7" t="s">
        <v>122</v>
      </c>
      <c r="B18" s="8">
        <v>4.82</v>
      </c>
      <c r="C18" s="8">
        <v>3.91</v>
      </c>
      <c r="D18" s="8">
        <v>8.8</v>
      </c>
      <c r="E18" s="8">
        <v>4.7</v>
      </c>
      <c r="F18" s="7" t="b">
        <v>0</v>
      </c>
    </row>
    <row r="19">
      <c r="A19" s="7" t="s">
        <v>128</v>
      </c>
      <c r="B19" s="8">
        <v>5.98</v>
      </c>
      <c r="C19" s="8">
        <v>3.42</v>
      </c>
      <c r="D19" s="8">
        <v>9.1</v>
      </c>
      <c r="E19" s="8">
        <v>3.9</v>
      </c>
      <c r="F19" s="7" t="b">
        <v>0</v>
      </c>
    </row>
    <row r="20">
      <c r="A20" s="7" t="s">
        <v>134</v>
      </c>
      <c r="B20" s="8">
        <v>3.88</v>
      </c>
      <c r="C20" s="8">
        <v>5.45</v>
      </c>
      <c r="D20" s="8">
        <v>9.3</v>
      </c>
      <c r="E20" s="8">
        <v>4.9</v>
      </c>
      <c r="F20" s="7" t="b">
        <v>0</v>
      </c>
    </row>
    <row r="21" ht="15.75" customHeight="1">
      <c r="A21" s="7" t="s">
        <v>136</v>
      </c>
      <c r="B21" s="8">
        <v>10.39</v>
      </c>
      <c r="C21" s="8">
        <v>0.28</v>
      </c>
      <c r="D21" s="8">
        <v>10.9</v>
      </c>
      <c r="E21" s="8">
        <v>4.6</v>
      </c>
      <c r="F21" s="7" t="b">
        <v>0</v>
      </c>
    </row>
    <row r="22" ht="15.75" customHeight="1">
      <c r="A22" s="7" t="s">
        <v>141</v>
      </c>
      <c r="B22" s="8">
        <v>6.05</v>
      </c>
      <c r="C22" s="8">
        <v>7.85</v>
      </c>
      <c r="D22" s="8">
        <v>14.1</v>
      </c>
      <c r="E22" s="8">
        <v>4.3</v>
      </c>
      <c r="F22" s="7" t="b">
        <v>0</v>
      </c>
    </row>
    <row r="23" ht="15.75" customHeight="1">
      <c r="A23" s="7" t="s">
        <v>149</v>
      </c>
      <c r="B23" s="8">
        <v>8.94</v>
      </c>
      <c r="C23" s="8">
        <v>7.73</v>
      </c>
      <c r="D23" s="8">
        <v>16.5</v>
      </c>
      <c r="E23" s="8">
        <v>4.2</v>
      </c>
      <c r="F23" s="7" t="b">
        <v>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4.0"/>
    <col customWidth="1" min="2" max="2" width="18.0"/>
    <col customWidth="1" min="3" max="26" width="8.63"/>
  </cols>
  <sheetData>
    <row r="1" ht="30.0" customHeight="1">
      <c r="A1" s="6" t="s">
        <v>91</v>
      </c>
      <c r="B1" s="6" t="s">
        <v>92</v>
      </c>
    </row>
    <row r="2">
      <c r="A2" s="7" t="s">
        <v>95</v>
      </c>
      <c r="B2" s="11">
        <v>0.31</v>
      </c>
    </row>
    <row r="3">
      <c r="A3" s="7" t="s">
        <v>97</v>
      </c>
      <c r="B3" s="11">
        <v>0.28</v>
      </c>
    </row>
    <row r="4">
      <c r="A4" s="7" t="s">
        <v>98</v>
      </c>
      <c r="B4" s="11">
        <v>0.14</v>
      </c>
    </row>
    <row r="5">
      <c r="A5" s="7" t="s">
        <v>101</v>
      </c>
      <c r="B5" s="11">
        <v>0.14</v>
      </c>
    </row>
    <row r="6">
      <c r="A6" s="7" t="s">
        <v>102</v>
      </c>
      <c r="B6" s="11">
        <v>0.13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2.0"/>
    <col customWidth="1" min="2" max="2" width="18.0"/>
    <col customWidth="1" min="3" max="3" width="16.0"/>
    <col customWidth="1" min="4" max="5" width="14.0"/>
    <col customWidth="1" min="6" max="6" width="18.0"/>
    <col customWidth="1" min="7" max="7" width="14.0"/>
    <col customWidth="1" min="8" max="26" width="8.63"/>
  </cols>
  <sheetData>
    <row r="1" ht="30.0" customHeight="1">
      <c r="A1" s="6" t="s">
        <v>124</v>
      </c>
      <c r="B1" s="6" t="s">
        <v>125</v>
      </c>
      <c r="C1" s="6" t="s">
        <v>127</v>
      </c>
      <c r="D1" s="6" t="s">
        <v>130</v>
      </c>
      <c r="E1" s="6" t="s">
        <v>131</v>
      </c>
      <c r="F1" s="6" t="s">
        <v>132</v>
      </c>
      <c r="G1" s="6" t="s">
        <v>37</v>
      </c>
    </row>
    <row r="2">
      <c r="A2" s="7" t="s">
        <v>133</v>
      </c>
      <c r="B2" s="7">
        <v>24.0</v>
      </c>
      <c r="C2" s="7">
        <v>9.0</v>
      </c>
      <c r="D2" s="7">
        <v>140.0</v>
      </c>
      <c r="E2" s="7">
        <v>2202.0</v>
      </c>
      <c r="F2" s="11">
        <v>1.0</v>
      </c>
      <c r="G2" s="7" t="b">
        <v>0</v>
      </c>
    </row>
    <row r="3">
      <c r="A3" s="7" t="s">
        <v>135</v>
      </c>
      <c r="B3" s="7">
        <v>22.0</v>
      </c>
      <c r="C3" s="7">
        <v>12.0</v>
      </c>
      <c r="D3" s="7">
        <v>144.0</v>
      </c>
      <c r="E3" s="7">
        <v>2149.0</v>
      </c>
      <c r="F3" s="11">
        <v>1.0</v>
      </c>
      <c r="G3" s="7" t="b">
        <v>0</v>
      </c>
    </row>
    <row r="4">
      <c r="A4" s="7" t="s">
        <v>139</v>
      </c>
      <c r="B4" s="7">
        <v>20.0</v>
      </c>
      <c r="C4" s="7">
        <v>15.0</v>
      </c>
      <c r="D4" s="7">
        <v>100.0</v>
      </c>
      <c r="E4" s="7">
        <v>1686.0</v>
      </c>
      <c r="F4" s="11">
        <v>1.0</v>
      </c>
      <c r="G4" s="7" t="b">
        <v>0</v>
      </c>
    </row>
    <row r="5">
      <c r="A5" s="7" t="s">
        <v>143</v>
      </c>
      <c r="B5" s="7">
        <v>65.0</v>
      </c>
      <c r="C5" s="7">
        <v>23.0</v>
      </c>
      <c r="D5" s="7">
        <v>408.0</v>
      </c>
      <c r="E5" s="7">
        <v>5848.0</v>
      </c>
      <c r="F5" s="11">
        <v>1.0</v>
      </c>
      <c r="G5" s="7" t="b">
        <v>0</v>
      </c>
    </row>
    <row r="6">
      <c r="A6" s="7" t="s">
        <v>145</v>
      </c>
      <c r="B6" s="7">
        <v>17.0</v>
      </c>
      <c r="C6" s="7">
        <v>13.0</v>
      </c>
      <c r="D6" s="7">
        <v>136.0</v>
      </c>
      <c r="E6" s="7">
        <v>882.0</v>
      </c>
      <c r="F6" s="11">
        <v>1.0</v>
      </c>
      <c r="G6" s="7" t="b">
        <v>0</v>
      </c>
    </row>
    <row r="7">
      <c r="A7" s="7" t="s">
        <v>148</v>
      </c>
      <c r="B7" s="7">
        <v>17.0</v>
      </c>
      <c r="C7" s="7">
        <v>10.0</v>
      </c>
      <c r="D7" s="7">
        <v>340.0</v>
      </c>
      <c r="E7" s="7">
        <v>2210.0</v>
      </c>
      <c r="F7" s="11">
        <v>1.0</v>
      </c>
      <c r="G7" s="7" t="b">
        <v>0</v>
      </c>
    </row>
    <row r="8">
      <c r="A8" s="7" t="s">
        <v>151</v>
      </c>
      <c r="B8" s="7">
        <v>16.0</v>
      </c>
      <c r="C8" s="7">
        <v>7.0</v>
      </c>
      <c r="D8" s="7">
        <v>140.0</v>
      </c>
      <c r="E8" s="7">
        <v>1625.0</v>
      </c>
      <c r="F8" s="11">
        <v>1.0</v>
      </c>
      <c r="G8" s="7" t="b">
        <v>0</v>
      </c>
    </row>
    <row r="9">
      <c r="A9" s="7" t="s">
        <v>155</v>
      </c>
      <c r="B9" s="7">
        <v>37.0</v>
      </c>
      <c r="C9" s="7">
        <v>17.0</v>
      </c>
      <c r="D9" s="7">
        <v>194.0</v>
      </c>
      <c r="E9" s="7">
        <v>1274.0</v>
      </c>
      <c r="F9" s="11">
        <v>0.99</v>
      </c>
      <c r="G9" s="7" t="b">
        <v>0</v>
      </c>
    </row>
    <row r="10">
      <c r="A10" s="7" t="s">
        <v>159</v>
      </c>
      <c r="B10" s="7">
        <v>51.0</v>
      </c>
      <c r="C10" s="7">
        <v>16.0</v>
      </c>
      <c r="D10" s="7">
        <v>282.0</v>
      </c>
      <c r="E10" s="7">
        <v>3760.0</v>
      </c>
      <c r="F10" s="11">
        <v>0.98</v>
      </c>
      <c r="G10" s="7" t="b">
        <v>0</v>
      </c>
    </row>
    <row r="11">
      <c r="A11" s="7" t="s">
        <v>160</v>
      </c>
      <c r="B11" s="7">
        <v>88.0</v>
      </c>
      <c r="C11" s="7">
        <v>32.0</v>
      </c>
      <c r="D11" s="7">
        <v>491.0</v>
      </c>
      <c r="E11" s="7">
        <v>5244.0</v>
      </c>
      <c r="F11" s="11">
        <v>0.98</v>
      </c>
      <c r="G11" s="7" t="b">
        <v>0</v>
      </c>
    </row>
    <row r="12">
      <c r="A12" s="7" t="s">
        <v>162</v>
      </c>
      <c r="B12" s="7">
        <v>36.0</v>
      </c>
      <c r="C12" s="7">
        <v>9.0</v>
      </c>
      <c r="D12" s="7">
        <v>157.0</v>
      </c>
      <c r="E12" s="7">
        <v>1327.0</v>
      </c>
      <c r="F12" s="11">
        <v>1.0</v>
      </c>
      <c r="G12" s="7" t="b">
        <v>1</v>
      </c>
    </row>
    <row r="13">
      <c r="A13" s="7" t="s">
        <v>165</v>
      </c>
      <c r="B13" s="7">
        <v>19.0</v>
      </c>
      <c r="C13" s="7">
        <v>6.0</v>
      </c>
      <c r="D13" s="7">
        <v>152.0</v>
      </c>
      <c r="E13" s="7">
        <v>1851.0</v>
      </c>
      <c r="F13" s="11">
        <v>1.0</v>
      </c>
      <c r="G13" s="7" t="b">
        <v>1</v>
      </c>
    </row>
    <row r="14">
      <c r="A14" s="7" t="s">
        <v>166</v>
      </c>
      <c r="B14" s="7">
        <v>13.0</v>
      </c>
      <c r="C14" s="7">
        <v>6.0</v>
      </c>
      <c r="D14" s="7">
        <v>104.0</v>
      </c>
      <c r="E14" s="7">
        <v>686.0</v>
      </c>
      <c r="F14" s="11">
        <v>1.0</v>
      </c>
      <c r="G14" s="7" t="b">
        <v>1</v>
      </c>
    </row>
    <row r="15">
      <c r="A15" s="7" t="s">
        <v>168</v>
      </c>
      <c r="B15" s="7">
        <v>20.0</v>
      </c>
      <c r="C15" s="7">
        <v>11.0</v>
      </c>
      <c r="D15" s="7">
        <v>78.0</v>
      </c>
      <c r="E15" s="7">
        <v>1380.0</v>
      </c>
      <c r="F15" s="11">
        <v>0.89</v>
      </c>
      <c r="G15" s="7" t="b">
        <v>1</v>
      </c>
    </row>
    <row r="16">
      <c r="A16" s="7" t="s">
        <v>169</v>
      </c>
      <c r="B16" s="7">
        <v>66.0</v>
      </c>
      <c r="C16" s="7">
        <v>6.0</v>
      </c>
      <c r="D16" s="7">
        <v>654.0</v>
      </c>
      <c r="E16" s="7">
        <v>2643.0</v>
      </c>
      <c r="F16" s="11">
        <v>0.98</v>
      </c>
      <c r="G16" s="7" t="b">
        <v>0</v>
      </c>
    </row>
    <row r="17">
      <c r="A17" s="7" t="s">
        <v>170</v>
      </c>
      <c r="B17" s="7">
        <v>21.0</v>
      </c>
      <c r="C17" s="7">
        <v>8.0</v>
      </c>
      <c r="D17" s="7">
        <v>252.0</v>
      </c>
      <c r="E17" s="7">
        <v>1536.0</v>
      </c>
      <c r="F17" s="11">
        <v>0.97</v>
      </c>
      <c r="G17" s="7" t="b">
        <v>0</v>
      </c>
    </row>
    <row r="18">
      <c r="A18" s="7" t="s">
        <v>171</v>
      </c>
      <c r="B18" s="7">
        <v>43.0</v>
      </c>
      <c r="C18" s="7">
        <v>6.0</v>
      </c>
      <c r="D18" s="7">
        <v>314.0</v>
      </c>
      <c r="E18" s="7">
        <v>2391.0</v>
      </c>
      <c r="F18" s="11">
        <v>0.92</v>
      </c>
      <c r="G18" s="7" t="b">
        <v>0</v>
      </c>
    </row>
    <row r="19">
      <c r="A19" s="7" t="s">
        <v>172</v>
      </c>
      <c r="B19" s="7">
        <v>31.0</v>
      </c>
      <c r="C19" s="7">
        <v>13.0</v>
      </c>
      <c r="D19" s="7">
        <v>223.0</v>
      </c>
      <c r="E19" s="7">
        <v>3236.0</v>
      </c>
      <c r="F19" s="11">
        <v>0.67</v>
      </c>
      <c r="G19" s="7" t="b">
        <v>0</v>
      </c>
    </row>
    <row r="20">
      <c r="A20" s="7" t="s">
        <v>173</v>
      </c>
      <c r="B20" s="7">
        <v>41.0</v>
      </c>
      <c r="C20" s="7">
        <v>6.0</v>
      </c>
      <c r="D20" s="7">
        <v>2652.0</v>
      </c>
      <c r="E20" s="7">
        <v>2460.0</v>
      </c>
      <c r="F20" s="11">
        <v>0.67</v>
      </c>
      <c r="G20" s="7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F20">
    <cfRule type="colorScale" priority="1">
      <colorScale>
        <cfvo type="min"/>
        <cfvo type="percentile" val="50"/>
        <cfvo type="max"/>
        <color rgb="FFFBEAEA"/>
        <color rgb="FFFBF0DA"/>
        <color rgb="FFE5F5EB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56.0"/>
    <col customWidth="1" min="3" max="3" width="16.0"/>
    <col customWidth="1" min="4" max="4" width="18.0"/>
    <col customWidth="1" min="5" max="6" width="20.0"/>
    <col customWidth="1" min="7" max="7" width="18.0"/>
    <col customWidth="1" min="8" max="8" width="20.0"/>
    <col customWidth="1" min="9" max="26" width="8.63"/>
  </cols>
  <sheetData>
    <row r="1" ht="30.0" customHeight="1">
      <c r="A1" s="6" t="s">
        <v>178</v>
      </c>
      <c r="B1" s="6" t="s">
        <v>179</v>
      </c>
      <c r="C1" s="6" t="s">
        <v>180</v>
      </c>
      <c r="D1" s="6" t="s">
        <v>181</v>
      </c>
      <c r="E1" s="6" t="s">
        <v>182</v>
      </c>
      <c r="F1" s="6" t="s">
        <v>183</v>
      </c>
      <c r="G1" s="6" t="s">
        <v>184</v>
      </c>
      <c r="H1" s="6" t="s">
        <v>185</v>
      </c>
    </row>
    <row r="2">
      <c r="A2" s="7" t="s">
        <v>186</v>
      </c>
      <c r="B2" s="7" t="s">
        <v>187</v>
      </c>
      <c r="C2" s="7" t="s">
        <v>116</v>
      </c>
      <c r="D2" s="11">
        <v>0.93</v>
      </c>
      <c r="E2" s="11">
        <v>0.94</v>
      </c>
      <c r="F2" s="7" t="s">
        <v>188</v>
      </c>
      <c r="G2" s="7" t="s">
        <v>189</v>
      </c>
      <c r="H2" s="7" t="s">
        <v>190</v>
      </c>
    </row>
    <row r="3">
      <c r="A3" s="7" t="s">
        <v>191</v>
      </c>
      <c r="B3" s="7" t="s">
        <v>192</v>
      </c>
      <c r="C3" s="7" t="s">
        <v>116</v>
      </c>
      <c r="D3" s="11">
        <v>1.0</v>
      </c>
      <c r="E3" s="11">
        <v>1.0</v>
      </c>
      <c r="F3" s="7" t="s">
        <v>188</v>
      </c>
      <c r="G3" s="7" t="s">
        <v>193</v>
      </c>
      <c r="H3" s="7" t="s">
        <v>190</v>
      </c>
    </row>
    <row r="4">
      <c r="A4" s="7" t="s">
        <v>194</v>
      </c>
      <c r="B4" s="7" t="s">
        <v>195</v>
      </c>
      <c r="C4" s="7" t="s">
        <v>116</v>
      </c>
      <c r="D4" s="11">
        <v>0.98</v>
      </c>
      <c r="E4" s="11">
        <v>0.98</v>
      </c>
      <c r="F4" s="7" t="s">
        <v>188</v>
      </c>
      <c r="G4" s="7" t="s">
        <v>189</v>
      </c>
      <c r="H4" s="7" t="s">
        <v>190</v>
      </c>
    </row>
    <row r="5">
      <c r="A5" s="7" t="s">
        <v>198</v>
      </c>
      <c r="B5" s="7" t="s">
        <v>199</v>
      </c>
      <c r="C5" s="7" t="s">
        <v>116</v>
      </c>
      <c r="D5" s="11">
        <v>0.95</v>
      </c>
      <c r="E5" s="11">
        <v>0.98</v>
      </c>
      <c r="F5" s="7" t="s">
        <v>188</v>
      </c>
      <c r="G5" s="7" t="s">
        <v>189</v>
      </c>
      <c r="H5" s="7" t="s">
        <v>190</v>
      </c>
    </row>
    <row r="6">
      <c r="A6" s="7" t="s">
        <v>204</v>
      </c>
      <c r="B6" s="7" t="s">
        <v>206</v>
      </c>
      <c r="C6" s="7" t="s">
        <v>116</v>
      </c>
      <c r="D6" s="11">
        <v>0.9</v>
      </c>
      <c r="E6" s="11">
        <v>0.5</v>
      </c>
      <c r="F6" s="7" t="s">
        <v>188</v>
      </c>
      <c r="G6" s="7" t="s">
        <v>189</v>
      </c>
      <c r="H6" s="7" t="s">
        <v>190</v>
      </c>
    </row>
    <row r="7">
      <c r="A7" s="7" t="s">
        <v>210</v>
      </c>
      <c r="B7" s="7" t="s">
        <v>211</v>
      </c>
      <c r="C7" s="7" t="s">
        <v>116</v>
      </c>
      <c r="D7" s="11">
        <v>0.66</v>
      </c>
      <c r="E7" s="11">
        <v>0.2</v>
      </c>
      <c r="F7" s="7" t="s">
        <v>241</v>
      </c>
      <c r="G7" s="7" t="s">
        <v>189</v>
      </c>
      <c r="H7" s="7" t="s">
        <v>190</v>
      </c>
    </row>
    <row r="8">
      <c r="A8" s="7" t="s">
        <v>246</v>
      </c>
      <c r="B8" s="7" t="s">
        <v>249</v>
      </c>
      <c r="C8" s="7" t="s">
        <v>116</v>
      </c>
      <c r="D8" s="11">
        <v>0.15</v>
      </c>
      <c r="E8" s="11">
        <v>0.0</v>
      </c>
      <c r="F8" s="7" t="s">
        <v>251</v>
      </c>
      <c r="G8" s="7" t="s">
        <v>189</v>
      </c>
      <c r="H8" s="7" t="s">
        <v>190</v>
      </c>
    </row>
    <row r="9">
      <c r="A9" s="7" t="s">
        <v>255</v>
      </c>
      <c r="B9" s="7" t="s">
        <v>256</v>
      </c>
      <c r="C9" s="7" t="s">
        <v>116</v>
      </c>
      <c r="D9" s="11">
        <v>0.15</v>
      </c>
      <c r="E9" s="11">
        <v>0.0</v>
      </c>
      <c r="F9" s="7" t="s">
        <v>260</v>
      </c>
      <c r="G9" s="7" t="s">
        <v>189</v>
      </c>
      <c r="H9" s="7" t="s">
        <v>190</v>
      </c>
    </row>
    <row r="10">
      <c r="A10" s="7" t="s">
        <v>262</v>
      </c>
      <c r="B10" s="7" t="s">
        <v>264</v>
      </c>
      <c r="C10" s="7" t="s">
        <v>140</v>
      </c>
      <c r="D10" s="11">
        <v>0.0</v>
      </c>
      <c r="E10" s="11">
        <v>0.0</v>
      </c>
      <c r="F10" s="7" t="s">
        <v>268</v>
      </c>
      <c r="G10" s="7" t="s">
        <v>189</v>
      </c>
      <c r="H10" s="7" t="s">
        <v>190</v>
      </c>
    </row>
    <row r="11">
      <c r="A11" s="7" t="s">
        <v>272</v>
      </c>
      <c r="B11" s="7" t="s">
        <v>273</v>
      </c>
      <c r="C11" s="7" t="s">
        <v>140</v>
      </c>
      <c r="D11" s="11">
        <v>0.0</v>
      </c>
      <c r="E11" s="11">
        <v>0.0</v>
      </c>
      <c r="F11" s="7" t="s">
        <v>277</v>
      </c>
      <c r="G11" s="7" t="s">
        <v>189</v>
      </c>
      <c r="H11" s="7" t="s">
        <v>190</v>
      </c>
    </row>
    <row r="12">
      <c r="A12" s="7" t="s">
        <v>279</v>
      </c>
      <c r="B12" s="7" t="s">
        <v>281</v>
      </c>
      <c r="C12" s="7" t="s">
        <v>140</v>
      </c>
      <c r="D12" s="11">
        <v>0.0</v>
      </c>
      <c r="E12" s="11">
        <v>0.0</v>
      </c>
      <c r="F12" s="7" t="s">
        <v>277</v>
      </c>
      <c r="G12" s="7" t="s">
        <v>189</v>
      </c>
      <c r="H12" s="7" t="s">
        <v>190</v>
      </c>
    </row>
    <row r="13">
      <c r="A13" s="7" t="s">
        <v>285</v>
      </c>
      <c r="B13" s="7" t="s">
        <v>286</v>
      </c>
      <c r="C13" s="7" t="s">
        <v>140</v>
      </c>
      <c r="D13" s="11">
        <v>0.0</v>
      </c>
      <c r="E13" s="11">
        <v>0.0</v>
      </c>
      <c r="F13" s="7" t="s">
        <v>251</v>
      </c>
      <c r="G13" s="7" t="s">
        <v>189</v>
      </c>
      <c r="H13" s="7" t="s">
        <v>190</v>
      </c>
    </row>
    <row r="14">
      <c r="A14" s="7" t="s">
        <v>287</v>
      </c>
      <c r="B14" s="7" t="s">
        <v>288</v>
      </c>
      <c r="C14" s="7" t="s">
        <v>140</v>
      </c>
      <c r="D14" s="11">
        <v>0.0</v>
      </c>
      <c r="E14" s="11">
        <v>0.0</v>
      </c>
      <c r="F14" s="7" t="s">
        <v>277</v>
      </c>
      <c r="G14" s="7" t="s">
        <v>189</v>
      </c>
      <c r="H14" s="7" t="s">
        <v>190</v>
      </c>
    </row>
    <row r="15">
      <c r="A15" s="7" t="s">
        <v>289</v>
      </c>
      <c r="B15" s="7" t="s">
        <v>291</v>
      </c>
      <c r="C15" s="7" t="s">
        <v>140</v>
      </c>
      <c r="D15" s="11">
        <v>0.0</v>
      </c>
      <c r="E15" s="11">
        <v>0.0</v>
      </c>
      <c r="F15" s="7" t="s">
        <v>260</v>
      </c>
      <c r="G15" s="7" t="s">
        <v>189</v>
      </c>
      <c r="H15" s="7" t="s">
        <v>190</v>
      </c>
    </row>
    <row r="16">
      <c r="A16" s="7" t="s">
        <v>294</v>
      </c>
      <c r="B16" s="7" t="s">
        <v>295</v>
      </c>
      <c r="C16" s="7" t="s">
        <v>140</v>
      </c>
      <c r="D16" s="11">
        <v>0.0</v>
      </c>
      <c r="E16" s="11">
        <v>0.0</v>
      </c>
      <c r="F16" s="7" t="s">
        <v>260</v>
      </c>
      <c r="G16" s="7" t="s">
        <v>189</v>
      </c>
      <c r="H16" s="7" t="s">
        <v>190</v>
      </c>
    </row>
    <row r="17">
      <c r="A17" s="7" t="s">
        <v>298</v>
      </c>
      <c r="B17" s="7" t="s">
        <v>300</v>
      </c>
      <c r="C17" s="7" t="s">
        <v>140</v>
      </c>
      <c r="D17" s="11">
        <v>0.0</v>
      </c>
      <c r="E17" s="11">
        <v>0.0</v>
      </c>
      <c r="F17" s="7" t="s">
        <v>260</v>
      </c>
      <c r="G17" s="7" t="s">
        <v>189</v>
      </c>
      <c r="H17" s="7" t="s">
        <v>190</v>
      </c>
    </row>
    <row r="18">
      <c r="A18" s="7" t="s">
        <v>303</v>
      </c>
      <c r="B18" s="7" t="s">
        <v>304</v>
      </c>
      <c r="C18" s="7" t="s">
        <v>140</v>
      </c>
      <c r="D18" s="11">
        <v>0.0</v>
      </c>
      <c r="E18" s="11">
        <v>0.0</v>
      </c>
      <c r="F18" s="7" t="s">
        <v>260</v>
      </c>
      <c r="G18" s="7" t="s">
        <v>189</v>
      </c>
      <c r="H18" s="7" t="s">
        <v>190</v>
      </c>
    </row>
    <row r="19">
      <c r="A19" s="7" t="s">
        <v>307</v>
      </c>
      <c r="B19" s="7" t="s">
        <v>310</v>
      </c>
      <c r="C19" s="7" t="s">
        <v>140</v>
      </c>
      <c r="D19" s="11">
        <v>0.0</v>
      </c>
      <c r="E19" s="11">
        <v>0.0</v>
      </c>
      <c r="F19" s="7" t="s">
        <v>260</v>
      </c>
      <c r="G19" s="7" t="s">
        <v>189</v>
      </c>
      <c r="H19" s="7" t="s">
        <v>190</v>
      </c>
    </row>
    <row r="20">
      <c r="A20" s="7" t="s">
        <v>311</v>
      </c>
      <c r="B20" s="7" t="s">
        <v>314</v>
      </c>
      <c r="C20" s="7" t="s">
        <v>140</v>
      </c>
      <c r="D20" s="11">
        <v>0.0</v>
      </c>
      <c r="E20" s="11">
        <v>0.0</v>
      </c>
      <c r="F20" s="7" t="s">
        <v>260</v>
      </c>
      <c r="G20" s="7" t="s">
        <v>189</v>
      </c>
      <c r="H20" s="7" t="s">
        <v>190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20">
      <formula1>"En proceso,Pendiente"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9" width="10.0"/>
    <col customWidth="1" min="10" max="10" width="12.0"/>
    <col customWidth="1" min="11" max="26" width="8.63"/>
  </cols>
  <sheetData>
    <row r="1" ht="30.0" customHeight="1">
      <c r="A1" s="6" t="s">
        <v>21</v>
      </c>
      <c r="B1" s="6" t="s">
        <v>196</v>
      </c>
      <c r="C1" s="6" t="s">
        <v>197</v>
      </c>
      <c r="D1" s="6" t="s">
        <v>200</v>
      </c>
      <c r="E1" s="6" t="s">
        <v>201</v>
      </c>
      <c r="F1" s="6" t="s">
        <v>202</v>
      </c>
      <c r="G1" s="6" t="s">
        <v>203</v>
      </c>
      <c r="H1" s="6" t="s">
        <v>205</v>
      </c>
      <c r="I1" s="6" t="s">
        <v>207</v>
      </c>
      <c r="J1" s="6" t="s">
        <v>208</v>
      </c>
    </row>
    <row r="2">
      <c r="A2" s="7" t="s">
        <v>209</v>
      </c>
      <c r="B2" s="7">
        <v>0.0</v>
      </c>
      <c r="C2" s="7">
        <v>0.0</v>
      </c>
      <c r="D2" s="7">
        <v>1.0</v>
      </c>
      <c r="E2" s="7">
        <v>0.0</v>
      </c>
      <c r="F2" s="7">
        <v>1.0</v>
      </c>
      <c r="G2" s="7">
        <v>2.0</v>
      </c>
      <c r="H2" s="7">
        <v>0.0</v>
      </c>
      <c r="I2" s="7">
        <v>0.0</v>
      </c>
      <c r="J2" s="7">
        <v>4.0</v>
      </c>
    </row>
    <row r="3">
      <c r="A3" s="7" t="s">
        <v>212</v>
      </c>
      <c r="B3" s="7">
        <v>0.0</v>
      </c>
      <c r="C3" s="7">
        <v>0.0</v>
      </c>
      <c r="D3" s="7">
        <v>1.0</v>
      </c>
      <c r="E3" s="7">
        <v>7.0</v>
      </c>
      <c r="F3" s="7">
        <v>18.0</v>
      </c>
      <c r="G3" s="7">
        <v>11.0</v>
      </c>
      <c r="H3" s="7">
        <v>1.0</v>
      </c>
      <c r="I3" s="7">
        <v>6.0</v>
      </c>
      <c r="J3" s="7">
        <v>44.0</v>
      </c>
    </row>
    <row r="4">
      <c r="A4" s="7" t="s">
        <v>213</v>
      </c>
      <c r="B4" s="7">
        <v>3.0</v>
      </c>
      <c r="C4" s="7">
        <v>0.0</v>
      </c>
      <c r="D4" s="7">
        <v>1.0</v>
      </c>
      <c r="E4" s="7">
        <v>2.0</v>
      </c>
      <c r="F4" s="7">
        <v>10.0</v>
      </c>
      <c r="G4" s="7">
        <v>1.0</v>
      </c>
      <c r="H4" s="7">
        <v>0.0</v>
      </c>
      <c r="I4" s="7">
        <v>2.0</v>
      </c>
      <c r="J4" s="7">
        <v>19.0</v>
      </c>
    </row>
    <row r="5">
      <c r="A5" s="7" t="s">
        <v>215</v>
      </c>
      <c r="B5" s="7">
        <v>1.0</v>
      </c>
      <c r="C5" s="7">
        <v>0.0</v>
      </c>
      <c r="D5" s="7">
        <v>1.0</v>
      </c>
      <c r="E5" s="7">
        <v>3.0</v>
      </c>
      <c r="F5" s="7">
        <v>4.0</v>
      </c>
      <c r="G5" s="7">
        <v>3.0</v>
      </c>
      <c r="H5" s="7">
        <v>0.0</v>
      </c>
      <c r="I5" s="7">
        <v>0.0</v>
      </c>
      <c r="J5" s="7">
        <v>12.0</v>
      </c>
    </row>
    <row r="6">
      <c r="A6" s="7" t="s">
        <v>216</v>
      </c>
      <c r="B6" s="7">
        <v>3.0</v>
      </c>
      <c r="C6" s="7">
        <v>0.0</v>
      </c>
      <c r="D6" s="7">
        <v>1.0</v>
      </c>
      <c r="E6" s="7">
        <v>3.0</v>
      </c>
      <c r="F6" s="7">
        <v>5.0</v>
      </c>
      <c r="G6" s="7">
        <v>1.0</v>
      </c>
      <c r="H6" s="7">
        <v>1.0</v>
      </c>
      <c r="I6" s="7">
        <v>1.0</v>
      </c>
      <c r="J6" s="7">
        <v>15.0</v>
      </c>
    </row>
    <row r="7">
      <c r="A7" s="7" t="s">
        <v>217</v>
      </c>
      <c r="B7" s="7">
        <v>0.0</v>
      </c>
      <c r="C7" s="7">
        <v>0.0</v>
      </c>
      <c r="D7" s="7">
        <v>2.0</v>
      </c>
      <c r="E7" s="7">
        <v>2.0</v>
      </c>
      <c r="F7" s="7">
        <v>7.0</v>
      </c>
      <c r="G7" s="7">
        <v>1.0</v>
      </c>
      <c r="H7" s="7">
        <v>0.0</v>
      </c>
      <c r="I7" s="7">
        <v>1.0</v>
      </c>
      <c r="J7" s="7">
        <v>13.0</v>
      </c>
    </row>
    <row r="8">
      <c r="A8" s="7" t="s">
        <v>219</v>
      </c>
      <c r="B8" s="7">
        <v>0.0</v>
      </c>
      <c r="C8" s="7">
        <v>0.0</v>
      </c>
      <c r="D8" s="7">
        <v>0.0</v>
      </c>
      <c r="E8" s="7">
        <v>0.0</v>
      </c>
      <c r="F8" s="7">
        <v>1.0</v>
      </c>
      <c r="G8" s="7">
        <v>1.0</v>
      </c>
      <c r="H8" s="7">
        <v>2.0</v>
      </c>
      <c r="I8" s="7">
        <v>0.0</v>
      </c>
      <c r="J8" s="7">
        <v>4.0</v>
      </c>
    </row>
    <row r="9">
      <c r="A9" s="7" t="s">
        <v>220</v>
      </c>
      <c r="B9" s="7">
        <v>7.0</v>
      </c>
      <c r="C9" s="7">
        <v>1.0</v>
      </c>
      <c r="D9" s="7">
        <v>6.0</v>
      </c>
      <c r="E9" s="7">
        <v>5.0</v>
      </c>
      <c r="F9" s="7">
        <v>26.0</v>
      </c>
      <c r="G9" s="7">
        <v>10.0</v>
      </c>
      <c r="H9" s="7">
        <v>3.0</v>
      </c>
      <c r="I9" s="7">
        <v>7.0</v>
      </c>
      <c r="J9" s="7">
        <v>65.0</v>
      </c>
    </row>
    <row r="10">
      <c r="A10" s="7" t="s">
        <v>222</v>
      </c>
      <c r="B10" s="7">
        <v>3.0</v>
      </c>
      <c r="C10" s="7">
        <v>0.0</v>
      </c>
      <c r="D10" s="7">
        <v>0.0</v>
      </c>
      <c r="E10" s="7">
        <v>1.0</v>
      </c>
      <c r="F10" s="7">
        <v>7.0</v>
      </c>
      <c r="G10" s="7">
        <v>2.0</v>
      </c>
      <c r="H10" s="7">
        <v>0.0</v>
      </c>
      <c r="I10" s="7">
        <v>0.0</v>
      </c>
      <c r="J10" s="7">
        <v>13.0</v>
      </c>
    </row>
    <row r="11">
      <c r="A11" s="7" t="s">
        <v>223</v>
      </c>
      <c r="B11" s="7">
        <v>2.0</v>
      </c>
      <c r="C11" s="7">
        <v>0.0</v>
      </c>
      <c r="D11" s="7">
        <v>0.0</v>
      </c>
      <c r="E11" s="7">
        <v>1.0</v>
      </c>
      <c r="F11" s="7">
        <v>6.0</v>
      </c>
      <c r="G11" s="7">
        <v>3.0</v>
      </c>
      <c r="H11" s="7">
        <v>0.0</v>
      </c>
      <c r="I11" s="7">
        <v>2.0</v>
      </c>
      <c r="J11" s="7">
        <v>14.0</v>
      </c>
    </row>
    <row r="12">
      <c r="A12" s="7" t="s">
        <v>225</v>
      </c>
      <c r="B12" s="7">
        <v>5.0</v>
      </c>
      <c r="C12" s="7">
        <v>1.0</v>
      </c>
      <c r="D12" s="7">
        <v>0.0</v>
      </c>
      <c r="E12" s="7">
        <v>1.0</v>
      </c>
      <c r="F12" s="7">
        <v>4.0</v>
      </c>
      <c r="G12" s="7">
        <v>2.0</v>
      </c>
      <c r="H12" s="7">
        <v>0.0</v>
      </c>
      <c r="I12" s="7">
        <v>1.0</v>
      </c>
      <c r="J12" s="7">
        <v>14.0</v>
      </c>
    </row>
    <row r="13">
      <c r="A13" s="7" t="s">
        <v>227</v>
      </c>
      <c r="B13" s="7">
        <v>2.0</v>
      </c>
      <c r="C13" s="7">
        <v>0.0</v>
      </c>
      <c r="D13" s="7">
        <v>2.0</v>
      </c>
      <c r="E13" s="7">
        <v>1.0</v>
      </c>
      <c r="F13" s="7">
        <v>7.0</v>
      </c>
      <c r="G13" s="7">
        <v>2.0</v>
      </c>
      <c r="H13" s="7">
        <v>0.0</v>
      </c>
      <c r="I13" s="7">
        <v>1.0</v>
      </c>
      <c r="J13" s="7">
        <v>15.0</v>
      </c>
    </row>
    <row r="14">
      <c r="A14" s="7" t="s">
        <v>232</v>
      </c>
      <c r="B14" s="7">
        <v>0.0</v>
      </c>
      <c r="C14" s="7">
        <v>0.0</v>
      </c>
      <c r="D14" s="7">
        <v>1.0</v>
      </c>
      <c r="E14" s="7">
        <v>0.0</v>
      </c>
      <c r="F14" s="7">
        <v>1.0</v>
      </c>
      <c r="G14" s="7">
        <v>2.0</v>
      </c>
      <c r="H14" s="7">
        <v>0.0</v>
      </c>
      <c r="I14" s="7">
        <v>0.0</v>
      </c>
      <c r="J14" s="7">
        <v>4.0</v>
      </c>
    </row>
    <row r="15">
      <c r="A15" s="7" t="s">
        <v>240</v>
      </c>
      <c r="B15" s="7">
        <v>1.0</v>
      </c>
      <c r="C15" s="7">
        <v>0.0</v>
      </c>
      <c r="D15" s="7">
        <v>1.0</v>
      </c>
      <c r="E15" s="7">
        <v>1.0</v>
      </c>
      <c r="F15" s="7">
        <v>7.0</v>
      </c>
      <c r="G15" s="7">
        <v>2.0</v>
      </c>
      <c r="H15" s="7">
        <v>0.0</v>
      </c>
      <c r="I15" s="7">
        <v>1.0</v>
      </c>
      <c r="J15" s="7">
        <v>13.0</v>
      </c>
    </row>
    <row r="16">
      <c r="A16" s="7" t="s">
        <v>250</v>
      </c>
      <c r="B16" s="7">
        <v>0.0</v>
      </c>
      <c r="C16" s="7">
        <v>0.0</v>
      </c>
      <c r="D16" s="7">
        <v>1.0</v>
      </c>
      <c r="E16" s="7">
        <v>0.0</v>
      </c>
      <c r="F16" s="7">
        <v>1.0</v>
      </c>
      <c r="G16" s="7">
        <v>2.0</v>
      </c>
      <c r="H16" s="7">
        <v>0.0</v>
      </c>
      <c r="I16" s="7">
        <v>0.0</v>
      </c>
      <c r="J16" s="7">
        <v>4.0</v>
      </c>
    </row>
    <row r="17">
      <c r="A17" s="7" t="s">
        <v>259</v>
      </c>
      <c r="B17" s="7">
        <v>1.0</v>
      </c>
      <c r="C17" s="7">
        <v>0.0</v>
      </c>
      <c r="D17" s="7">
        <v>1.0</v>
      </c>
      <c r="E17" s="7">
        <v>2.0</v>
      </c>
      <c r="F17" s="7">
        <v>5.0</v>
      </c>
      <c r="G17" s="7">
        <v>2.0</v>
      </c>
      <c r="H17" s="7">
        <v>1.0</v>
      </c>
      <c r="I17" s="7">
        <v>1.0</v>
      </c>
      <c r="J17" s="7">
        <v>13.0</v>
      </c>
    </row>
    <row r="18">
      <c r="A18" s="7" t="s">
        <v>266</v>
      </c>
      <c r="B18" s="7">
        <v>0.0</v>
      </c>
      <c r="C18" s="7">
        <v>0.0</v>
      </c>
      <c r="D18" s="7">
        <v>0.0</v>
      </c>
      <c r="E18" s="7">
        <v>0.0</v>
      </c>
      <c r="F18" s="7">
        <v>0.0</v>
      </c>
      <c r="G18" s="7">
        <v>1.0</v>
      </c>
      <c r="H18" s="7">
        <v>0.0</v>
      </c>
      <c r="I18" s="7">
        <v>0.0</v>
      </c>
      <c r="J18" s="7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2" width="14.0"/>
    <col customWidth="1" min="3" max="3" width="16.0"/>
    <col customWidth="1" min="4" max="26" width="8.63"/>
  </cols>
  <sheetData>
    <row r="1" ht="30.0" customHeight="1">
      <c r="A1" s="6" t="s">
        <v>180</v>
      </c>
      <c r="B1" s="6" t="s">
        <v>214</v>
      </c>
      <c r="C1" s="6" t="s">
        <v>92</v>
      </c>
    </row>
    <row r="2">
      <c r="A2" s="7" t="s">
        <v>123</v>
      </c>
      <c r="B2" s="7">
        <v>80.0</v>
      </c>
      <c r="C2" s="11">
        <v>0.27</v>
      </c>
    </row>
    <row r="3">
      <c r="A3" s="7" t="s">
        <v>116</v>
      </c>
      <c r="B3" s="7">
        <v>111.0</v>
      </c>
      <c r="C3" s="11">
        <v>0.38</v>
      </c>
    </row>
    <row r="4">
      <c r="A4" s="7" t="s">
        <v>140</v>
      </c>
      <c r="B4" s="7">
        <v>76.0</v>
      </c>
      <c r="C4" s="11">
        <v>0.26</v>
      </c>
    </row>
    <row r="5">
      <c r="A5" s="7" t="s">
        <v>144</v>
      </c>
      <c r="B5" s="7">
        <v>27.0</v>
      </c>
      <c r="C5" s="11">
        <v>0.09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42.0"/>
    <col customWidth="1" min="3" max="4" width="16.0"/>
    <col customWidth="1" min="5" max="5" width="14.0"/>
    <col customWidth="1" min="6" max="6" width="20.0"/>
    <col customWidth="1" min="7" max="7" width="18.0"/>
    <col customWidth="1" min="8" max="8" width="20.0"/>
    <col customWidth="1" min="9" max="26" width="8.63"/>
  </cols>
  <sheetData>
    <row r="1" ht="30.0" customHeight="1">
      <c r="A1" s="6" t="s">
        <v>228</v>
      </c>
      <c r="B1" s="6" t="s">
        <v>21</v>
      </c>
      <c r="C1" s="6" t="s">
        <v>229</v>
      </c>
      <c r="D1" s="6" t="s">
        <v>230</v>
      </c>
      <c r="E1" s="6" t="s">
        <v>231</v>
      </c>
      <c r="F1" s="6" t="s">
        <v>183</v>
      </c>
      <c r="G1" s="6" t="s">
        <v>233</v>
      </c>
      <c r="H1" s="6" t="s">
        <v>185</v>
      </c>
    </row>
    <row r="2">
      <c r="A2" s="7" t="s">
        <v>235</v>
      </c>
      <c r="B2" s="7" t="s">
        <v>236</v>
      </c>
      <c r="C2" s="11">
        <v>1.0</v>
      </c>
      <c r="D2" s="11">
        <v>1.0</v>
      </c>
      <c r="E2" s="7" t="s">
        <v>193</v>
      </c>
      <c r="F2" s="7" t="s">
        <v>237</v>
      </c>
      <c r="G2" s="7" t="s">
        <v>189</v>
      </c>
      <c r="H2" s="7" t="s">
        <v>190</v>
      </c>
    </row>
    <row r="3">
      <c r="A3" s="7" t="s">
        <v>238</v>
      </c>
      <c r="B3" s="7" t="s">
        <v>239</v>
      </c>
      <c r="C3" s="11">
        <v>1.0</v>
      </c>
      <c r="D3" s="11">
        <v>1.0</v>
      </c>
      <c r="E3" s="7" t="s">
        <v>193</v>
      </c>
      <c r="F3" s="7" t="s">
        <v>237</v>
      </c>
      <c r="G3" s="7" t="s">
        <v>193</v>
      </c>
      <c r="H3" s="7" t="s">
        <v>243</v>
      </c>
    </row>
    <row r="4">
      <c r="A4" s="7" t="s">
        <v>244</v>
      </c>
      <c r="B4" s="7" t="s">
        <v>245</v>
      </c>
      <c r="C4" s="11">
        <v>1.0</v>
      </c>
      <c r="D4" s="11">
        <v>1.0</v>
      </c>
      <c r="E4" s="7" t="s">
        <v>193</v>
      </c>
      <c r="F4" s="7" t="s">
        <v>237</v>
      </c>
      <c r="G4" s="7" t="s">
        <v>189</v>
      </c>
      <c r="H4" s="7" t="s">
        <v>190</v>
      </c>
    </row>
    <row r="5">
      <c r="A5" s="7" t="s">
        <v>247</v>
      </c>
      <c r="B5" s="7" t="s">
        <v>248</v>
      </c>
      <c r="C5" s="11">
        <v>1.0</v>
      </c>
      <c r="D5" s="11">
        <v>1.0</v>
      </c>
      <c r="E5" s="7" t="s">
        <v>193</v>
      </c>
      <c r="F5" s="7" t="s">
        <v>237</v>
      </c>
      <c r="G5" s="7" t="s">
        <v>189</v>
      </c>
      <c r="H5" s="7" t="s">
        <v>190</v>
      </c>
    </row>
    <row r="6">
      <c r="A6" s="7" t="s">
        <v>252</v>
      </c>
      <c r="B6" s="7" t="s">
        <v>254</v>
      </c>
      <c r="C6" s="11">
        <v>1.0</v>
      </c>
      <c r="D6" s="11">
        <v>1.0</v>
      </c>
      <c r="E6" s="7" t="s">
        <v>193</v>
      </c>
      <c r="F6" s="7" t="s">
        <v>237</v>
      </c>
      <c r="G6" s="7" t="s">
        <v>189</v>
      </c>
      <c r="H6" s="7" t="s">
        <v>190</v>
      </c>
    </row>
    <row r="7">
      <c r="A7" s="7" t="s">
        <v>257</v>
      </c>
      <c r="B7" s="7" t="s">
        <v>258</v>
      </c>
      <c r="C7" s="11">
        <v>1.0</v>
      </c>
      <c r="D7" s="11">
        <v>1.0</v>
      </c>
      <c r="E7" s="7" t="s">
        <v>193</v>
      </c>
      <c r="F7" s="7" t="s">
        <v>237</v>
      </c>
      <c r="G7" s="7" t="s">
        <v>189</v>
      </c>
      <c r="H7" s="7" t="s">
        <v>190</v>
      </c>
    </row>
    <row r="8">
      <c r="A8" s="7" t="s">
        <v>261</v>
      </c>
      <c r="B8" s="7" t="s">
        <v>263</v>
      </c>
      <c r="C8" s="11">
        <v>1.0</v>
      </c>
      <c r="D8" s="11">
        <v>1.0</v>
      </c>
      <c r="E8" s="7" t="s">
        <v>193</v>
      </c>
      <c r="F8" s="7" t="s">
        <v>237</v>
      </c>
      <c r="G8" s="7" t="s">
        <v>189</v>
      </c>
      <c r="H8" s="7" t="s">
        <v>190</v>
      </c>
    </row>
    <row r="9">
      <c r="A9" s="7" t="s">
        <v>265</v>
      </c>
      <c r="B9" s="7" t="s">
        <v>267</v>
      </c>
      <c r="C9" s="11">
        <v>1.0</v>
      </c>
      <c r="D9" s="11">
        <v>1.0</v>
      </c>
      <c r="E9" s="7" t="s">
        <v>193</v>
      </c>
      <c r="F9" s="7" t="s">
        <v>237</v>
      </c>
      <c r="G9" s="7" t="s">
        <v>193</v>
      </c>
      <c r="H9" s="7" t="s">
        <v>269</v>
      </c>
    </row>
    <row r="10">
      <c r="A10" s="7" t="s">
        <v>270</v>
      </c>
      <c r="B10" s="7" t="s">
        <v>271</v>
      </c>
      <c r="C10" s="11">
        <v>1.0</v>
      </c>
      <c r="D10" s="11">
        <v>1.0</v>
      </c>
      <c r="E10" s="7" t="s">
        <v>193</v>
      </c>
      <c r="F10" s="7" t="s">
        <v>237</v>
      </c>
      <c r="G10" s="7" t="s">
        <v>193</v>
      </c>
      <c r="H10" s="7" t="s">
        <v>274</v>
      </c>
    </row>
    <row r="11">
      <c r="A11" s="7" t="s">
        <v>275</v>
      </c>
      <c r="B11" s="7" t="s">
        <v>276</v>
      </c>
      <c r="C11" s="11">
        <v>1.0</v>
      </c>
      <c r="D11" s="11">
        <v>1.0</v>
      </c>
      <c r="E11" s="7" t="s">
        <v>193</v>
      </c>
      <c r="F11" s="7" t="s">
        <v>237</v>
      </c>
      <c r="G11" s="7" t="s">
        <v>193</v>
      </c>
      <c r="H11" s="7" t="s">
        <v>274</v>
      </c>
    </row>
    <row r="12">
      <c r="A12" s="7" t="s">
        <v>278</v>
      </c>
      <c r="B12" s="7" t="s">
        <v>280</v>
      </c>
      <c r="C12" s="11">
        <v>1.0</v>
      </c>
      <c r="D12" s="11">
        <v>1.0</v>
      </c>
      <c r="E12" s="7" t="s">
        <v>193</v>
      </c>
      <c r="F12" s="7" t="s">
        <v>282</v>
      </c>
      <c r="G12" s="7" t="s">
        <v>189</v>
      </c>
      <c r="H12" s="7" t="s">
        <v>190</v>
      </c>
    </row>
    <row r="13">
      <c r="A13" s="7" t="s">
        <v>283</v>
      </c>
      <c r="B13" s="7" t="s">
        <v>284</v>
      </c>
      <c r="C13" s="11">
        <v>1.0</v>
      </c>
      <c r="D13" s="11">
        <v>0.0</v>
      </c>
      <c r="E13" s="7" t="s">
        <v>190</v>
      </c>
      <c r="F13" s="7" t="s">
        <v>190</v>
      </c>
      <c r="G13" s="7" t="s">
        <v>190</v>
      </c>
      <c r="H13" s="7" t="s">
        <v>190</v>
      </c>
    </row>
    <row r="14">
      <c r="A14" s="7" t="s">
        <v>290</v>
      </c>
      <c r="B14" s="7" t="s">
        <v>292</v>
      </c>
      <c r="C14" s="11">
        <v>1.0</v>
      </c>
      <c r="D14" s="11">
        <v>0.0</v>
      </c>
      <c r="E14" s="7" t="s">
        <v>190</v>
      </c>
      <c r="F14" s="7" t="s">
        <v>293</v>
      </c>
      <c r="G14" s="7" t="s">
        <v>190</v>
      </c>
      <c r="H14" s="7" t="s">
        <v>190</v>
      </c>
    </row>
    <row r="15">
      <c r="A15" s="7" t="s">
        <v>296</v>
      </c>
      <c r="B15" s="7" t="s">
        <v>297</v>
      </c>
      <c r="C15" s="11">
        <v>1.0</v>
      </c>
      <c r="D15" s="11">
        <v>0.0</v>
      </c>
      <c r="E15" s="7" t="s">
        <v>190</v>
      </c>
      <c r="F15" s="7" t="s">
        <v>299</v>
      </c>
      <c r="G15" s="7" t="s">
        <v>190</v>
      </c>
      <c r="H15" s="7" t="s">
        <v>190</v>
      </c>
    </row>
    <row r="16">
      <c r="A16" s="7" t="s">
        <v>301</v>
      </c>
      <c r="B16" s="7" t="s">
        <v>302</v>
      </c>
      <c r="C16" s="11">
        <v>1.0</v>
      </c>
      <c r="D16" s="11">
        <v>0.0</v>
      </c>
      <c r="E16" s="7" t="s">
        <v>190</v>
      </c>
      <c r="F16" s="7" t="s">
        <v>299</v>
      </c>
      <c r="G16" s="7" t="s">
        <v>190</v>
      </c>
      <c r="H16" s="7" t="s">
        <v>190</v>
      </c>
    </row>
    <row r="17">
      <c r="A17" s="7" t="s">
        <v>305</v>
      </c>
      <c r="B17" s="7" t="s">
        <v>306</v>
      </c>
      <c r="C17" s="11">
        <v>0.0</v>
      </c>
      <c r="D17" s="11">
        <v>0.0</v>
      </c>
      <c r="E17" s="7" t="s">
        <v>190</v>
      </c>
      <c r="F17" s="7" t="s">
        <v>293</v>
      </c>
      <c r="G17" s="7" t="s">
        <v>190</v>
      </c>
      <c r="H17" s="7" t="s">
        <v>190</v>
      </c>
    </row>
    <row r="18">
      <c r="A18" s="7" t="s">
        <v>308</v>
      </c>
      <c r="B18" s="7" t="s">
        <v>309</v>
      </c>
      <c r="C18" s="11">
        <v>0.0</v>
      </c>
      <c r="D18" s="11">
        <v>0.0</v>
      </c>
      <c r="E18" s="7" t="s">
        <v>190</v>
      </c>
      <c r="F18" s="7" t="s">
        <v>293</v>
      </c>
      <c r="G18" s="7" t="s">
        <v>190</v>
      </c>
      <c r="H18" s="7" t="s">
        <v>190</v>
      </c>
    </row>
    <row r="19">
      <c r="A19" s="7" t="s">
        <v>312</v>
      </c>
      <c r="B19" s="7" t="s">
        <v>313</v>
      </c>
      <c r="C19" s="11">
        <v>0.0</v>
      </c>
      <c r="D19" s="11">
        <v>0.0</v>
      </c>
      <c r="E19" s="7" t="s">
        <v>190</v>
      </c>
      <c r="F19" s="7" t="s">
        <v>315</v>
      </c>
      <c r="G19" s="7" t="s">
        <v>190</v>
      </c>
      <c r="H19" s="7" t="s">
        <v>190</v>
      </c>
    </row>
    <row r="20">
      <c r="A20" s="7" t="s">
        <v>316</v>
      </c>
      <c r="B20" s="7" t="s">
        <v>317</v>
      </c>
      <c r="C20" s="11">
        <v>0.0</v>
      </c>
      <c r="D20" s="11">
        <v>0.0</v>
      </c>
      <c r="E20" s="7" t="s">
        <v>190</v>
      </c>
      <c r="F20" s="7" t="s">
        <v>190</v>
      </c>
      <c r="G20" s="7" t="s">
        <v>190</v>
      </c>
      <c r="H20" s="7" t="s">
        <v>190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26.0"/>
    <col customWidth="1" min="3" max="3" width="44.0"/>
    <col customWidth="1" min="4" max="26" width="8.63"/>
  </cols>
  <sheetData>
    <row r="1" ht="30.0" customHeight="1">
      <c r="A1" s="6" t="s">
        <v>318</v>
      </c>
      <c r="B1" s="6" t="s">
        <v>20</v>
      </c>
      <c r="C1" s="6" t="s">
        <v>319</v>
      </c>
    </row>
    <row r="2">
      <c r="A2" s="7" t="s">
        <v>320</v>
      </c>
      <c r="B2" s="7" t="s">
        <v>321</v>
      </c>
      <c r="C2" s="7" t="s">
        <v>322</v>
      </c>
    </row>
    <row r="3">
      <c r="A3" s="7" t="s">
        <v>323</v>
      </c>
      <c r="B3" s="7" t="s">
        <v>321</v>
      </c>
      <c r="C3" s="7" t="s">
        <v>64</v>
      </c>
    </row>
    <row r="4">
      <c r="A4" s="7" t="s">
        <v>324</v>
      </c>
      <c r="B4" s="7" t="s">
        <v>321</v>
      </c>
      <c r="C4" s="7" t="s">
        <v>67</v>
      </c>
    </row>
    <row r="5">
      <c r="A5" s="7" t="s">
        <v>325</v>
      </c>
      <c r="B5" s="7" t="s">
        <v>321</v>
      </c>
      <c r="C5" s="7" t="s">
        <v>72</v>
      </c>
    </row>
    <row r="6">
      <c r="A6" s="7" t="s">
        <v>326</v>
      </c>
      <c r="B6" s="7" t="s">
        <v>321</v>
      </c>
      <c r="C6" s="7" t="s">
        <v>80</v>
      </c>
    </row>
    <row r="7">
      <c r="A7" s="7" t="s">
        <v>327</v>
      </c>
      <c r="B7" s="7" t="s">
        <v>321</v>
      </c>
      <c r="C7" s="7" t="s">
        <v>90</v>
      </c>
    </row>
    <row r="8">
      <c r="A8" s="7" t="s">
        <v>328</v>
      </c>
      <c r="B8" s="7" t="s">
        <v>321</v>
      </c>
      <c r="C8" s="7" t="s">
        <v>104</v>
      </c>
    </row>
    <row r="9">
      <c r="A9" s="7" t="s">
        <v>329</v>
      </c>
      <c r="B9" s="7" t="s">
        <v>321</v>
      </c>
      <c r="C9" s="7" t="s">
        <v>110</v>
      </c>
    </row>
    <row r="10">
      <c r="A10" s="7" t="s">
        <v>330</v>
      </c>
      <c r="B10" s="7" t="s">
        <v>321</v>
      </c>
      <c r="C10" s="7" t="s">
        <v>115</v>
      </c>
    </row>
    <row r="11">
      <c r="A11" s="7" t="s">
        <v>331</v>
      </c>
      <c r="B11" s="7" t="s">
        <v>321</v>
      </c>
      <c r="C11" s="7" t="s">
        <v>120</v>
      </c>
    </row>
    <row r="12">
      <c r="A12" s="7" t="s">
        <v>332</v>
      </c>
      <c r="B12" s="7" t="s">
        <v>321</v>
      </c>
      <c r="C12" s="7" t="s">
        <v>129</v>
      </c>
    </row>
    <row r="13">
      <c r="A13" s="7" t="s">
        <v>333</v>
      </c>
      <c r="B13" s="7" t="s">
        <v>321</v>
      </c>
      <c r="C13" s="7" t="s">
        <v>138</v>
      </c>
    </row>
    <row r="14">
      <c r="A14" s="7" t="s">
        <v>334</v>
      </c>
      <c r="B14" s="7" t="s">
        <v>321</v>
      </c>
      <c r="C14" s="7" t="s">
        <v>146</v>
      </c>
    </row>
    <row r="15">
      <c r="A15" s="7" t="s">
        <v>335</v>
      </c>
      <c r="B15" s="7" t="s">
        <v>321</v>
      </c>
      <c r="C15" s="7" t="s">
        <v>157</v>
      </c>
    </row>
    <row r="16">
      <c r="A16" s="7" t="s">
        <v>336</v>
      </c>
      <c r="B16" s="7" t="s">
        <v>321</v>
      </c>
      <c r="C16" s="7" t="s">
        <v>164</v>
      </c>
    </row>
    <row r="17">
      <c r="A17" s="7" t="s">
        <v>337</v>
      </c>
      <c r="B17" s="7" t="s">
        <v>321</v>
      </c>
      <c r="C17" s="7" t="s">
        <v>167</v>
      </c>
    </row>
    <row r="18">
      <c r="A18" s="7" t="s">
        <v>338</v>
      </c>
      <c r="B18" s="7" t="s">
        <v>321</v>
      </c>
      <c r="C18" s="7" t="s">
        <v>118</v>
      </c>
    </row>
    <row r="19">
      <c r="A19" s="7" t="s">
        <v>339</v>
      </c>
      <c r="B19" s="7" t="s">
        <v>321</v>
      </c>
      <c r="C19" s="7" t="s">
        <v>174</v>
      </c>
    </row>
    <row r="20">
      <c r="A20" s="7" t="s">
        <v>340</v>
      </c>
      <c r="B20" s="7" t="s">
        <v>321</v>
      </c>
      <c r="C20" s="7" t="s">
        <v>175</v>
      </c>
    </row>
    <row r="21" ht="15.75" customHeight="1">
      <c r="A21" s="7" t="s">
        <v>341</v>
      </c>
      <c r="B21" s="7" t="s">
        <v>321</v>
      </c>
      <c r="C21" s="7" t="s">
        <v>176</v>
      </c>
    </row>
    <row r="22" ht="15.75" customHeight="1">
      <c r="A22" s="7" t="s">
        <v>342</v>
      </c>
      <c r="B22" s="7" t="s">
        <v>321</v>
      </c>
      <c r="C22" s="7" t="s">
        <v>177</v>
      </c>
    </row>
    <row r="23" ht="15.75" customHeight="1">
      <c r="A23" s="7" t="s">
        <v>343</v>
      </c>
      <c r="B23" s="7" t="s">
        <v>321</v>
      </c>
      <c r="C23" s="7" t="s">
        <v>218</v>
      </c>
    </row>
    <row r="24" ht="15.75" customHeight="1">
      <c r="A24" s="7" t="s">
        <v>344</v>
      </c>
      <c r="B24" s="7" t="s">
        <v>321</v>
      </c>
      <c r="C24" s="7" t="s">
        <v>221</v>
      </c>
    </row>
    <row r="25" ht="15.75" customHeight="1">
      <c r="A25" s="7" t="s">
        <v>345</v>
      </c>
      <c r="B25" s="7" t="s">
        <v>321</v>
      </c>
      <c r="C25" s="7" t="s">
        <v>224</v>
      </c>
    </row>
    <row r="26" ht="15.75" customHeight="1">
      <c r="A26" s="7" t="s">
        <v>346</v>
      </c>
      <c r="B26" s="7" t="s">
        <v>321</v>
      </c>
      <c r="C26" s="7" t="s">
        <v>226</v>
      </c>
    </row>
    <row r="27" ht="15.75" customHeight="1">
      <c r="A27" s="7" t="s">
        <v>347</v>
      </c>
      <c r="B27" s="7" t="s">
        <v>321</v>
      </c>
      <c r="C27" s="7" t="s">
        <v>234</v>
      </c>
    </row>
    <row r="28" ht="15.75" customHeight="1">
      <c r="A28" s="7" t="s">
        <v>348</v>
      </c>
      <c r="B28" s="7" t="s">
        <v>321</v>
      </c>
      <c r="C28" s="7" t="s">
        <v>242</v>
      </c>
    </row>
    <row r="29" ht="15.75" customHeight="1">
      <c r="A29" s="7" t="s">
        <v>349</v>
      </c>
      <c r="B29" s="7" t="s">
        <v>321</v>
      </c>
      <c r="C29" s="7" t="s">
        <v>253</v>
      </c>
    </row>
    <row r="30" ht="15.75" customHeight="1">
      <c r="A30" s="7" t="s">
        <v>350</v>
      </c>
      <c r="B30" s="7" t="s">
        <v>351</v>
      </c>
      <c r="C30" s="7" t="s">
        <v>41</v>
      </c>
    </row>
    <row r="31" ht="15.75" customHeight="1">
      <c r="A31" s="7" t="s">
        <v>352</v>
      </c>
      <c r="B31" s="7" t="s">
        <v>351</v>
      </c>
      <c r="C31" s="7" t="s">
        <v>70</v>
      </c>
    </row>
    <row r="32" ht="15.75" customHeight="1">
      <c r="A32" s="7" t="s">
        <v>353</v>
      </c>
      <c r="B32" s="7" t="s">
        <v>351</v>
      </c>
      <c r="C32" s="7" t="s">
        <v>74</v>
      </c>
    </row>
    <row r="33" ht="15.75" customHeight="1">
      <c r="A33" s="7" t="s">
        <v>354</v>
      </c>
      <c r="B33" s="7" t="s">
        <v>351</v>
      </c>
      <c r="C33" s="7" t="s">
        <v>77</v>
      </c>
    </row>
    <row r="34" ht="15.75" customHeight="1">
      <c r="A34" s="7" t="s">
        <v>355</v>
      </c>
      <c r="B34" s="7" t="s">
        <v>351</v>
      </c>
      <c r="C34" s="7" t="s">
        <v>83</v>
      </c>
    </row>
    <row r="35" ht="15.75" customHeight="1">
      <c r="A35" s="7" t="s">
        <v>356</v>
      </c>
      <c r="B35" s="7" t="s">
        <v>351</v>
      </c>
      <c r="C35" s="7" t="s">
        <v>86</v>
      </c>
    </row>
    <row r="36" ht="15.75" customHeight="1">
      <c r="A36" s="7" t="s">
        <v>357</v>
      </c>
      <c r="B36" s="7" t="s">
        <v>351</v>
      </c>
      <c r="C36" s="7" t="s">
        <v>88</v>
      </c>
    </row>
    <row r="37" ht="15.75" customHeight="1">
      <c r="A37" s="7" t="s">
        <v>358</v>
      </c>
      <c r="B37" s="7" t="s">
        <v>351</v>
      </c>
      <c r="C37" s="7" t="s">
        <v>94</v>
      </c>
    </row>
    <row r="38" ht="15.75" customHeight="1">
      <c r="A38" s="7" t="s">
        <v>359</v>
      </c>
      <c r="B38" s="7" t="s">
        <v>351</v>
      </c>
      <c r="C38" s="7" t="s">
        <v>99</v>
      </c>
    </row>
    <row r="39" ht="15.75" customHeight="1">
      <c r="A39" s="7" t="s">
        <v>360</v>
      </c>
      <c r="B39" s="7" t="s">
        <v>351</v>
      </c>
      <c r="C39" s="7" t="s">
        <v>105</v>
      </c>
    </row>
    <row r="40" ht="15.75" customHeight="1">
      <c r="A40" s="7" t="s">
        <v>361</v>
      </c>
      <c r="B40" s="7" t="s">
        <v>351</v>
      </c>
      <c r="C40" s="7" t="s">
        <v>106</v>
      </c>
    </row>
    <row r="41" ht="15.75" customHeight="1">
      <c r="A41" s="7" t="s">
        <v>362</v>
      </c>
      <c r="B41" s="7" t="s">
        <v>351</v>
      </c>
      <c r="C41" s="7" t="s">
        <v>108</v>
      </c>
    </row>
    <row r="42" ht="15.75" customHeight="1">
      <c r="A42" s="7" t="s">
        <v>363</v>
      </c>
      <c r="B42" s="7" t="s">
        <v>351</v>
      </c>
      <c r="C42" s="7" t="s">
        <v>111</v>
      </c>
    </row>
    <row r="43" ht="15.75" customHeight="1">
      <c r="A43" s="7" t="s">
        <v>364</v>
      </c>
      <c r="B43" s="7" t="s">
        <v>351</v>
      </c>
      <c r="C43" s="7" t="s">
        <v>114</v>
      </c>
    </row>
    <row r="44" ht="15.75" customHeight="1">
      <c r="A44" s="7" t="s">
        <v>365</v>
      </c>
      <c r="B44" s="7" t="s">
        <v>351</v>
      </c>
      <c r="C44" s="7" t="s">
        <v>117</v>
      </c>
    </row>
    <row r="45" ht="15.75" customHeight="1">
      <c r="A45" s="7" t="s">
        <v>366</v>
      </c>
      <c r="B45" s="7" t="s">
        <v>351</v>
      </c>
      <c r="C45" s="7" t="s">
        <v>118</v>
      </c>
    </row>
    <row r="46" ht="15.75" customHeight="1">
      <c r="A46" s="7" t="s">
        <v>367</v>
      </c>
      <c r="B46" s="7" t="s">
        <v>351</v>
      </c>
      <c r="C46" s="7" t="s">
        <v>122</v>
      </c>
    </row>
    <row r="47" ht="15.75" customHeight="1">
      <c r="A47" s="7" t="s">
        <v>369</v>
      </c>
      <c r="B47" s="7" t="s">
        <v>351</v>
      </c>
      <c r="C47" s="7" t="s">
        <v>128</v>
      </c>
    </row>
    <row r="48" ht="15.75" customHeight="1">
      <c r="A48" s="7" t="s">
        <v>373</v>
      </c>
      <c r="B48" s="7" t="s">
        <v>351</v>
      </c>
      <c r="C48" s="7" t="s">
        <v>134</v>
      </c>
    </row>
    <row r="49" ht="15.75" customHeight="1">
      <c r="A49" s="7" t="s">
        <v>377</v>
      </c>
      <c r="B49" s="7" t="s">
        <v>351</v>
      </c>
      <c r="C49" s="7" t="s">
        <v>136</v>
      </c>
    </row>
    <row r="50" ht="15.75" customHeight="1">
      <c r="A50" s="7" t="s">
        <v>378</v>
      </c>
      <c r="B50" s="7" t="s">
        <v>351</v>
      </c>
      <c r="C50" s="7" t="s">
        <v>141</v>
      </c>
    </row>
    <row r="51" ht="15.75" customHeight="1">
      <c r="A51" s="7" t="s">
        <v>379</v>
      </c>
      <c r="B51" s="7" t="s">
        <v>351</v>
      </c>
      <c r="C51" s="7" t="s">
        <v>149</v>
      </c>
    </row>
    <row r="52" ht="15.75" customHeight="1">
      <c r="A52" s="7" t="s">
        <v>380</v>
      </c>
      <c r="B52" s="7" t="s">
        <v>381</v>
      </c>
      <c r="C52" s="7" t="s">
        <v>133</v>
      </c>
    </row>
    <row r="53" ht="15.75" customHeight="1">
      <c r="A53" s="7" t="s">
        <v>382</v>
      </c>
      <c r="B53" s="7" t="s">
        <v>381</v>
      </c>
      <c r="C53" s="7" t="s">
        <v>135</v>
      </c>
    </row>
    <row r="54" ht="15.75" customHeight="1">
      <c r="A54" s="7" t="s">
        <v>384</v>
      </c>
      <c r="B54" s="7" t="s">
        <v>381</v>
      </c>
      <c r="C54" s="7" t="s">
        <v>139</v>
      </c>
    </row>
    <row r="55" ht="15.75" customHeight="1">
      <c r="A55" s="7" t="s">
        <v>387</v>
      </c>
      <c r="B55" s="7" t="s">
        <v>381</v>
      </c>
      <c r="C55" s="7" t="s">
        <v>143</v>
      </c>
    </row>
    <row r="56" ht="15.75" customHeight="1">
      <c r="A56" s="7" t="s">
        <v>388</v>
      </c>
      <c r="B56" s="7" t="s">
        <v>381</v>
      </c>
      <c r="C56" s="7" t="s">
        <v>145</v>
      </c>
    </row>
    <row r="57" ht="15.75" customHeight="1">
      <c r="A57" s="7" t="s">
        <v>390</v>
      </c>
      <c r="B57" s="7" t="s">
        <v>381</v>
      </c>
      <c r="C57" s="7" t="s">
        <v>148</v>
      </c>
    </row>
    <row r="58" ht="15.75" customHeight="1">
      <c r="A58" s="7" t="s">
        <v>392</v>
      </c>
      <c r="B58" s="7" t="s">
        <v>381</v>
      </c>
      <c r="C58" s="7" t="s">
        <v>151</v>
      </c>
    </row>
    <row r="59" ht="15.75" customHeight="1">
      <c r="A59" s="7" t="s">
        <v>396</v>
      </c>
      <c r="B59" s="7" t="s">
        <v>381</v>
      </c>
      <c r="C59" s="7" t="s">
        <v>155</v>
      </c>
    </row>
    <row r="60" ht="15.75" customHeight="1">
      <c r="A60" s="7" t="s">
        <v>397</v>
      </c>
      <c r="B60" s="7" t="s">
        <v>381</v>
      </c>
      <c r="C60" s="7" t="s">
        <v>159</v>
      </c>
    </row>
    <row r="61" ht="15.75" customHeight="1">
      <c r="A61" s="7" t="s">
        <v>399</v>
      </c>
      <c r="B61" s="7" t="s">
        <v>381</v>
      </c>
      <c r="C61" s="7" t="s">
        <v>160</v>
      </c>
    </row>
    <row r="62" ht="15.75" customHeight="1">
      <c r="A62" s="7" t="s">
        <v>404</v>
      </c>
      <c r="B62" s="7" t="s">
        <v>381</v>
      </c>
      <c r="C62" s="7" t="s">
        <v>162</v>
      </c>
    </row>
    <row r="63" ht="15.75" customHeight="1">
      <c r="A63" s="7" t="s">
        <v>405</v>
      </c>
      <c r="B63" s="7" t="s">
        <v>381</v>
      </c>
      <c r="C63" s="7" t="s">
        <v>165</v>
      </c>
    </row>
    <row r="64" ht="15.75" customHeight="1">
      <c r="A64" s="7" t="s">
        <v>406</v>
      </c>
      <c r="B64" s="7" t="s">
        <v>381</v>
      </c>
      <c r="C64" s="7" t="s">
        <v>166</v>
      </c>
    </row>
    <row r="65" ht="15.75" customHeight="1">
      <c r="A65" s="7" t="s">
        <v>407</v>
      </c>
      <c r="B65" s="7" t="s">
        <v>381</v>
      </c>
      <c r="C65" s="7" t="s">
        <v>168</v>
      </c>
    </row>
    <row r="66" ht="15.75" customHeight="1">
      <c r="A66" s="7" t="s">
        <v>408</v>
      </c>
      <c r="B66" s="7" t="s">
        <v>381</v>
      </c>
      <c r="C66" s="7" t="s">
        <v>169</v>
      </c>
    </row>
    <row r="67" ht="15.75" customHeight="1">
      <c r="A67" s="7" t="s">
        <v>409</v>
      </c>
      <c r="B67" s="7" t="s">
        <v>381</v>
      </c>
      <c r="C67" s="7" t="s">
        <v>170</v>
      </c>
    </row>
    <row r="68" ht="15.75" customHeight="1">
      <c r="A68" s="7" t="s">
        <v>410</v>
      </c>
      <c r="B68" s="7" t="s">
        <v>381</v>
      </c>
      <c r="C68" s="7" t="s">
        <v>171</v>
      </c>
    </row>
    <row r="69" ht="15.75" customHeight="1">
      <c r="A69" s="7" t="s">
        <v>411</v>
      </c>
      <c r="B69" s="7" t="s">
        <v>381</v>
      </c>
      <c r="C69" s="7" t="s">
        <v>172</v>
      </c>
    </row>
    <row r="70" ht="15.75" customHeight="1">
      <c r="A70" s="7" t="s">
        <v>412</v>
      </c>
      <c r="B70" s="7" t="s">
        <v>381</v>
      </c>
      <c r="C70" s="7" t="s">
        <v>173</v>
      </c>
    </row>
    <row r="71" ht="15.75" customHeight="1">
      <c r="A71" s="7" t="s">
        <v>413</v>
      </c>
      <c r="B71" s="7" t="s">
        <v>414</v>
      </c>
      <c r="C71" s="7" t="s">
        <v>209</v>
      </c>
    </row>
    <row r="72" ht="15.75" customHeight="1">
      <c r="A72" s="7" t="s">
        <v>415</v>
      </c>
      <c r="B72" s="7" t="s">
        <v>414</v>
      </c>
      <c r="C72" s="7" t="s">
        <v>212</v>
      </c>
    </row>
    <row r="73" ht="15.75" customHeight="1">
      <c r="A73" s="7" t="s">
        <v>416</v>
      </c>
      <c r="B73" s="7" t="s">
        <v>414</v>
      </c>
      <c r="C73" s="7" t="s">
        <v>213</v>
      </c>
    </row>
    <row r="74" ht="15.75" customHeight="1">
      <c r="A74" s="7" t="s">
        <v>417</v>
      </c>
      <c r="B74" s="7" t="s">
        <v>414</v>
      </c>
      <c r="C74" s="7" t="s">
        <v>215</v>
      </c>
    </row>
    <row r="75" ht="15.75" customHeight="1">
      <c r="A75" s="7" t="s">
        <v>418</v>
      </c>
      <c r="B75" s="7" t="s">
        <v>414</v>
      </c>
      <c r="C75" s="7" t="s">
        <v>216</v>
      </c>
    </row>
    <row r="76" ht="15.75" customHeight="1">
      <c r="A76" s="7" t="s">
        <v>419</v>
      </c>
      <c r="B76" s="7" t="s">
        <v>414</v>
      </c>
      <c r="C76" s="7" t="s">
        <v>217</v>
      </c>
    </row>
    <row r="77" ht="15.75" customHeight="1">
      <c r="A77" s="7" t="s">
        <v>420</v>
      </c>
      <c r="B77" s="7" t="s">
        <v>414</v>
      </c>
      <c r="C77" s="7" t="s">
        <v>219</v>
      </c>
    </row>
    <row r="78" ht="15.75" customHeight="1">
      <c r="A78" s="7" t="s">
        <v>421</v>
      </c>
      <c r="B78" s="7" t="s">
        <v>414</v>
      </c>
      <c r="C78" s="7" t="s">
        <v>220</v>
      </c>
    </row>
    <row r="79" ht="15.75" customHeight="1">
      <c r="A79" s="7" t="s">
        <v>422</v>
      </c>
      <c r="B79" s="7" t="s">
        <v>414</v>
      </c>
      <c r="C79" s="7" t="s">
        <v>222</v>
      </c>
    </row>
    <row r="80" ht="15.75" customHeight="1">
      <c r="A80" s="7" t="s">
        <v>423</v>
      </c>
      <c r="B80" s="7" t="s">
        <v>414</v>
      </c>
      <c r="C80" s="7" t="s">
        <v>223</v>
      </c>
    </row>
    <row r="81" ht="15.75" customHeight="1">
      <c r="A81" s="7" t="s">
        <v>424</v>
      </c>
      <c r="B81" s="7" t="s">
        <v>414</v>
      </c>
      <c r="C81" s="7" t="s">
        <v>225</v>
      </c>
    </row>
    <row r="82" ht="15.75" customHeight="1">
      <c r="A82" s="7" t="s">
        <v>425</v>
      </c>
      <c r="B82" s="7" t="s">
        <v>414</v>
      </c>
      <c r="C82" s="7" t="s">
        <v>227</v>
      </c>
    </row>
    <row r="83" ht="15.75" customHeight="1">
      <c r="A83" s="7" t="s">
        <v>426</v>
      </c>
      <c r="B83" s="7" t="s">
        <v>414</v>
      </c>
      <c r="C83" s="7" t="s">
        <v>232</v>
      </c>
    </row>
    <row r="84" ht="15.75" customHeight="1">
      <c r="A84" s="7" t="s">
        <v>427</v>
      </c>
      <c r="B84" s="7" t="s">
        <v>414</v>
      </c>
      <c r="C84" s="7" t="s">
        <v>240</v>
      </c>
    </row>
    <row r="85" ht="15.75" customHeight="1">
      <c r="A85" s="7" t="s">
        <v>428</v>
      </c>
      <c r="B85" s="7" t="s">
        <v>414</v>
      </c>
      <c r="C85" s="7" t="s">
        <v>250</v>
      </c>
    </row>
    <row r="86" ht="15.75" customHeight="1">
      <c r="A86" s="7" t="s">
        <v>429</v>
      </c>
      <c r="B86" s="7" t="s">
        <v>414</v>
      </c>
      <c r="C86" s="7" t="s">
        <v>259</v>
      </c>
    </row>
    <row r="87" ht="15.75" customHeight="1">
      <c r="A87" s="7" t="s">
        <v>430</v>
      </c>
      <c r="B87" s="7" t="s">
        <v>414</v>
      </c>
      <c r="C87" s="7" t="s">
        <v>266</v>
      </c>
    </row>
    <row r="88" ht="15.75" customHeight="1">
      <c r="A88" s="7" t="s">
        <v>431</v>
      </c>
      <c r="B88" s="7" t="s">
        <v>432</v>
      </c>
      <c r="C88" s="7" t="s">
        <v>236</v>
      </c>
    </row>
    <row r="89" ht="15.75" customHeight="1">
      <c r="A89" s="7" t="s">
        <v>433</v>
      </c>
      <c r="B89" s="7" t="s">
        <v>432</v>
      </c>
      <c r="C89" s="7" t="s">
        <v>239</v>
      </c>
    </row>
    <row r="90" ht="15.75" customHeight="1">
      <c r="A90" s="7" t="s">
        <v>434</v>
      </c>
      <c r="B90" s="7" t="s">
        <v>432</v>
      </c>
      <c r="C90" s="7" t="s">
        <v>245</v>
      </c>
    </row>
    <row r="91" ht="15.75" customHeight="1">
      <c r="A91" s="7" t="s">
        <v>435</v>
      </c>
      <c r="B91" s="7" t="s">
        <v>432</v>
      </c>
      <c r="C91" s="7" t="s">
        <v>248</v>
      </c>
    </row>
    <row r="92" ht="15.75" customHeight="1">
      <c r="A92" s="7" t="s">
        <v>436</v>
      </c>
      <c r="B92" s="7" t="s">
        <v>432</v>
      </c>
      <c r="C92" s="7" t="s">
        <v>254</v>
      </c>
    </row>
    <row r="93" ht="15.75" customHeight="1">
      <c r="A93" s="7" t="s">
        <v>437</v>
      </c>
      <c r="B93" s="7" t="s">
        <v>432</v>
      </c>
      <c r="C93" s="7" t="s">
        <v>258</v>
      </c>
    </row>
    <row r="94" ht="15.75" customHeight="1">
      <c r="A94" s="7" t="s">
        <v>438</v>
      </c>
      <c r="B94" s="7" t="s">
        <v>432</v>
      </c>
      <c r="C94" s="7" t="s">
        <v>263</v>
      </c>
    </row>
    <row r="95" ht="15.75" customHeight="1">
      <c r="A95" s="7" t="s">
        <v>439</v>
      </c>
      <c r="B95" s="7" t="s">
        <v>432</v>
      </c>
      <c r="C95" s="7" t="s">
        <v>267</v>
      </c>
    </row>
    <row r="96" ht="15.75" customHeight="1">
      <c r="A96" s="7" t="s">
        <v>440</v>
      </c>
      <c r="B96" s="7" t="s">
        <v>432</v>
      </c>
      <c r="C96" s="7" t="s">
        <v>271</v>
      </c>
    </row>
    <row r="97" ht="15.75" customHeight="1">
      <c r="A97" s="7" t="s">
        <v>441</v>
      </c>
      <c r="B97" s="7" t="s">
        <v>432</v>
      </c>
      <c r="C97" s="7" t="s">
        <v>276</v>
      </c>
    </row>
    <row r="98" ht="15.75" customHeight="1">
      <c r="A98" s="7" t="s">
        <v>442</v>
      </c>
      <c r="B98" s="7" t="s">
        <v>432</v>
      </c>
      <c r="C98" s="7" t="s">
        <v>280</v>
      </c>
    </row>
    <row r="99" ht="15.75" customHeight="1">
      <c r="A99" s="7" t="s">
        <v>443</v>
      </c>
      <c r="B99" s="7" t="s">
        <v>432</v>
      </c>
      <c r="C99" s="7" t="s">
        <v>284</v>
      </c>
    </row>
    <row r="100" ht="15.75" customHeight="1">
      <c r="A100" s="7" t="s">
        <v>444</v>
      </c>
      <c r="B100" s="7" t="s">
        <v>432</v>
      </c>
      <c r="C100" s="7" t="s">
        <v>292</v>
      </c>
    </row>
    <row r="101" ht="15.75" customHeight="1">
      <c r="A101" s="7" t="s">
        <v>445</v>
      </c>
      <c r="B101" s="7" t="s">
        <v>432</v>
      </c>
      <c r="C101" s="7" t="s">
        <v>297</v>
      </c>
    </row>
    <row r="102" ht="15.75" customHeight="1">
      <c r="A102" s="7" t="s">
        <v>446</v>
      </c>
      <c r="B102" s="7" t="s">
        <v>432</v>
      </c>
      <c r="C102" s="7" t="s">
        <v>302</v>
      </c>
    </row>
    <row r="103" ht="15.75" customHeight="1">
      <c r="A103" s="7" t="s">
        <v>447</v>
      </c>
      <c r="B103" s="7" t="s">
        <v>432</v>
      </c>
      <c r="C103" s="7" t="s">
        <v>306</v>
      </c>
    </row>
    <row r="104" ht="15.75" customHeight="1">
      <c r="A104" s="7" t="s">
        <v>448</v>
      </c>
      <c r="B104" s="7" t="s">
        <v>432</v>
      </c>
      <c r="C104" s="7" t="s">
        <v>309</v>
      </c>
    </row>
    <row r="105" ht="15.75" customHeight="1">
      <c r="A105" s="7" t="s">
        <v>449</v>
      </c>
      <c r="B105" s="7" t="s">
        <v>432</v>
      </c>
      <c r="C105" s="7" t="s">
        <v>313</v>
      </c>
    </row>
    <row r="106" ht="15.75" customHeight="1">
      <c r="A106" s="7" t="s">
        <v>450</v>
      </c>
      <c r="B106" s="7" t="s">
        <v>432</v>
      </c>
      <c r="C106" s="7" t="s">
        <v>317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20.0"/>
    <col customWidth="1" min="4" max="26" width="8.63"/>
  </cols>
  <sheetData>
    <row r="1">
      <c r="A1" s="12" t="s">
        <v>368</v>
      </c>
    </row>
    <row r="3">
      <c r="A3" s="2" t="s">
        <v>370</v>
      </c>
      <c r="B3" s="2" t="s">
        <v>371</v>
      </c>
      <c r="C3" s="2" t="s">
        <v>372</v>
      </c>
      <c r="E3" s="13" t="s">
        <v>374</v>
      </c>
      <c r="F3" s="13" t="s">
        <v>375</v>
      </c>
    </row>
    <row r="4">
      <c r="A4" s="14" t="s">
        <v>376</v>
      </c>
      <c r="B4" s="14">
        <f>COUNTA(PROYECTOS!A2:A1000)</f>
        <v>19</v>
      </c>
      <c r="C4" s="14">
        <v>19.0</v>
      </c>
      <c r="E4" s="14" t="s">
        <v>116</v>
      </c>
      <c r="F4" s="14">
        <v>8.0</v>
      </c>
    </row>
    <row r="5">
      <c r="A5" s="14" t="s">
        <v>383</v>
      </c>
      <c r="B5" s="14">
        <f>COUNTIF(PROYECTOS!C2:C1000,"En proceso")</f>
        <v>8</v>
      </c>
      <c r="C5" s="14">
        <v>8.0</v>
      </c>
      <c r="E5" s="14" t="s">
        <v>140</v>
      </c>
      <c r="F5" s="14">
        <v>11.0</v>
      </c>
    </row>
    <row r="6">
      <c r="A6" s="14" t="s">
        <v>385</v>
      </c>
      <c r="B6" s="14">
        <f>COUNTIF(PROYECTOS!C2:C1000,"Pendiente")</f>
        <v>11</v>
      </c>
      <c r="C6" s="14">
        <v>11.0</v>
      </c>
    </row>
    <row r="7">
      <c r="A7" s="14" t="s">
        <v>386</v>
      </c>
      <c r="B7" s="14">
        <f>COUNTA(LISTO!A2:A1000)</f>
        <v>19</v>
      </c>
      <c r="C7" s="14">
        <v>19.0</v>
      </c>
    </row>
    <row r="8">
      <c r="A8" s="14" t="s">
        <v>389</v>
      </c>
      <c r="B8" s="14">
        <f>COUNTIF(LISTO!E2:E1000,"Sí")</f>
        <v>11</v>
      </c>
      <c r="C8" s="14">
        <v>11.0</v>
      </c>
    </row>
    <row r="9">
      <c r="A9" s="14" t="s">
        <v>391</v>
      </c>
      <c r="B9" s="14">
        <f>SUM(MEJORAS_PROGRAMACION!J2:J1000)</f>
        <v>267</v>
      </c>
      <c r="C9" s="14">
        <v>267.0</v>
      </c>
    </row>
    <row r="11">
      <c r="A11" s="2" t="s">
        <v>393</v>
      </c>
      <c r="B11" s="2" t="s">
        <v>394</v>
      </c>
      <c r="C11" s="2" t="s">
        <v>395</v>
      </c>
    </row>
    <row r="12">
      <c r="A12" s="14" t="s">
        <v>398</v>
      </c>
      <c r="B12" s="14">
        <v>294.0</v>
      </c>
      <c r="C12" s="14" t="s">
        <v>152</v>
      </c>
    </row>
    <row r="13">
      <c r="A13" s="14" t="s">
        <v>400</v>
      </c>
      <c r="B13" s="14">
        <v>267.0</v>
      </c>
      <c r="C13" s="14" t="s">
        <v>401</v>
      </c>
    </row>
    <row r="14">
      <c r="A14" s="15" t="s">
        <v>402</v>
      </c>
      <c r="B14" s="15">
        <f>B12-B13</f>
        <v>27</v>
      </c>
      <c r="C14" s="15" t="s">
        <v>403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